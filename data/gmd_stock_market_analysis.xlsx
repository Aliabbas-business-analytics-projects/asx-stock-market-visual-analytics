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11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liabbas/Desktop/"/>
    </mc:Choice>
  </mc:AlternateContent>
  <xr:revisionPtr revIDLastSave="0" documentId="13_ncr:1_{3AB4B915-1036-0249-9F94-FE491CA8B73B}" xr6:coauthVersionLast="47" xr6:coauthVersionMax="47" xr10:uidLastSave="{00000000-0000-0000-0000-000000000000}"/>
  <bookViews>
    <workbookView xWindow="0" yWindow="500" windowWidth="28800" windowHeight="16260" activeTab="3" xr2:uid="{F411915D-621E-B744-A60E-AFE6C7792798}"/>
  </bookViews>
  <sheets>
    <sheet name="closing price vs volume" sheetId="1" r:id="rId1"/>
    <sheet name="stock price" sheetId="2" r:id="rId2"/>
    <sheet name="capital vs issued shares" sheetId="3" r:id="rId3"/>
    <sheet name="yield analysis" sheetId="8" r:id="rId4"/>
    <sheet name="PE" sheetId="5" r:id="rId5"/>
    <sheet name="Yearly portfolio" sheetId="6" r:id="rId6"/>
    <sheet name="1xtrade" sheetId="7" r:id="rId7"/>
    <sheet name="Maximum Trade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1" i="9" l="1"/>
  <c r="V10" i="9"/>
  <c r="V9" i="9"/>
  <c r="V8" i="9"/>
  <c r="V7" i="9"/>
  <c r="V6" i="9"/>
  <c r="V5" i="9"/>
  <c r="V4" i="9"/>
  <c r="V3" i="9"/>
  <c r="V2" i="9"/>
  <c r="X11" i="9"/>
  <c r="Z11" i="9"/>
  <c r="X9" i="9"/>
  <c r="Z9" i="9"/>
  <c r="Z7" i="9"/>
  <c r="X7" i="9"/>
  <c r="X5" i="9"/>
  <c r="Z5" i="9"/>
  <c r="X4" i="9"/>
  <c r="Z3" i="9"/>
  <c r="X2" i="9"/>
  <c r="X3" i="9" s="1"/>
  <c r="P15" i="9"/>
  <c r="R12" i="9"/>
  <c r="P12" i="9"/>
  <c r="R9" i="9"/>
  <c r="P9" i="9"/>
  <c r="N15" i="9"/>
  <c r="R15" i="9" s="1"/>
  <c r="N14" i="9"/>
  <c r="N12" i="9"/>
  <c r="N11" i="9"/>
  <c r="N9" i="9"/>
  <c r="N8" i="9"/>
  <c r="R6" i="9"/>
  <c r="P6" i="9"/>
  <c r="P5" i="9"/>
  <c r="N6" i="9"/>
  <c r="N5" i="9"/>
  <c r="N3" i="9"/>
  <c r="N2" i="9"/>
  <c r="P2" i="9"/>
  <c r="P3" i="9" s="1"/>
  <c r="R3" i="9"/>
  <c r="K67" i="1" l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" i="1"/>
  <c r="K4" i="1"/>
  <c r="K5" i="1"/>
  <c r="K6" i="1"/>
  <c r="K2" i="1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" i="8"/>
  <c r="G26" i="8"/>
  <c r="G27" i="8"/>
  <c r="G28" i="8"/>
  <c r="G29" i="8"/>
  <c r="G30" i="8"/>
  <c r="G31" i="8"/>
  <c r="G32" i="8"/>
  <c r="G16" i="8"/>
  <c r="G17" i="8"/>
  <c r="G18" i="8"/>
  <c r="G19" i="8"/>
  <c r="G20" i="8"/>
  <c r="G21" i="8"/>
  <c r="G22" i="8"/>
  <c r="G23" i="8"/>
  <c r="G24" i="8"/>
  <c r="G5" i="8"/>
  <c r="G6" i="8"/>
  <c r="G7" i="8"/>
  <c r="G8" i="8"/>
  <c r="G9" i="8"/>
  <c r="G10" i="8"/>
  <c r="G11" i="8"/>
  <c r="G12" i="8"/>
  <c r="G13" i="8"/>
  <c r="G14" i="8"/>
  <c r="G15" i="8"/>
  <c r="G3" i="8"/>
  <c r="G4" i="8"/>
  <c r="G2" i="8"/>
  <c r="R8" i="7" l="1"/>
  <c r="K2" i="6"/>
  <c r="L2" i="6" s="1"/>
  <c r="F3" i="6" s="1"/>
  <c r="I2" i="6"/>
  <c r="P7" i="7"/>
  <c r="F7" i="6"/>
  <c r="F9" i="6"/>
  <c r="F10" i="6"/>
  <c r="F15" i="6"/>
  <c r="F16" i="6"/>
  <c r="F17" i="6"/>
  <c r="F18" i="6"/>
  <c r="F23" i="6"/>
  <c r="F24" i="6"/>
  <c r="F25" i="6"/>
  <c r="F26" i="6"/>
  <c r="F31" i="6"/>
  <c r="F32" i="6"/>
  <c r="F33" i="6"/>
  <c r="F34" i="6"/>
  <c r="F39" i="6"/>
  <c r="F40" i="6"/>
  <c r="F41" i="6"/>
  <c r="F42" i="6"/>
  <c r="F47" i="6"/>
  <c r="F48" i="6"/>
  <c r="F49" i="6"/>
  <c r="F50" i="6"/>
  <c r="F55" i="6"/>
  <c r="F56" i="6"/>
  <c r="F57" i="6"/>
  <c r="F58" i="6"/>
  <c r="F63" i="6"/>
  <c r="F64" i="6"/>
  <c r="F65" i="6"/>
  <c r="F66" i="6"/>
  <c r="F71" i="6"/>
  <c r="F72" i="6"/>
  <c r="F73" i="6"/>
  <c r="F74" i="6"/>
  <c r="F79" i="6"/>
  <c r="F80" i="6"/>
  <c r="F81" i="6"/>
  <c r="F82" i="6"/>
  <c r="F87" i="6"/>
  <c r="F88" i="6"/>
  <c r="F89" i="6"/>
  <c r="F90" i="6"/>
  <c r="F95" i="6"/>
  <c r="F96" i="6"/>
  <c r="F97" i="6"/>
  <c r="F98" i="6"/>
  <c r="F103" i="6"/>
  <c r="F104" i="6"/>
  <c r="F105" i="6"/>
  <c r="F106" i="6"/>
  <c r="F111" i="6"/>
  <c r="F112" i="6"/>
  <c r="F113" i="6"/>
  <c r="F114" i="6"/>
  <c r="F119" i="6"/>
  <c r="F120" i="6"/>
  <c r="F121" i="6"/>
  <c r="F122" i="6"/>
  <c r="F127" i="6"/>
  <c r="F128" i="6"/>
  <c r="F129" i="6"/>
  <c r="F130" i="6"/>
  <c r="F135" i="6"/>
  <c r="F136" i="6"/>
  <c r="F137" i="6"/>
  <c r="F138" i="6"/>
  <c r="F143" i="6"/>
  <c r="F144" i="6"/>
  <c r="F145" i="6"/>
  <c r="F146" i="6"/>
  <c r="F151" i="6"/>
  <c r="F152" i="6"/>
  <c r="F153" i="6"/>
  <c r="F154" i="6"/>
  <c r="F159" i="6"/>
  <c r="F160" i="6"/>
  <c r="F161" i="6"/>
  <c r="F162" i="6"/>
  <c r="F167" i="6"/>
  <c r="F168" i="6"/>
  <c r="F169" i="6"/>
  <c r="F170" i="6"/>
  <c r="F175" i="6"/>
  <c r="F176" i="6"/>
  <c r="F177" i="6"/>
  <c r="F178" i="6"/>
  <c r="F183" i="6"/>
  <c r="F184" i="6"/>
  <c r="F185" i="6"/>
  <c r="F186" i="6"/>
  <c r="F191" i="6"/>
  <c r="F192" i="6"/>
  <c r="F193" i="6"/>
  <c r="F194" i="6"/>
  <c r="F199" i="6"/>
  <c r="F200" i="6"/>
  <c r="F201" i="6"/>
  <c r="F202" i="6"/>
  <c r="F207" i="6"/>
  <c r="F208" i="6"/>
  <c r="F209" i="6"/>
  <c r="F210" i="6"/>
  <c r="F215" i="6"/>
  <c r="F216" i="6"/>
  <c r="F217" i="6"/>
  <c r="F218" i="6"/>
  <c r="F223" i="6"/>
  <c r="F224" i="6"/>
  <c r="F225" i="6"/>
  <c r="F226" i="6"/>
  <c r="F231" i="6"/>
  <c r="F232" i="6"/>
  <c r="F233" i="6"/>
  <c r="F234" i="6"/>
  <c r="F239" i="6"/>
  <c r="F240" i="6"/>
  <c r="F241" i="6"/>
  <c r="F242" i="6"/>
  <c r="F247" i="6"/>
  <c r="F248" i="6"/>
  <c r="F249" i="6"/>
  <c r="F250" i="6"/>
  <c r="F255" i="6"/>
  <c r="E4" i="6"/>
  <c r="F4" i="6" s="1"/>
  <c r="E5" i="6"/>
  <c r="F5" i="6" s="1"/>
  <c r="E6" i="6"/>
  <c r="F6" i="6" s="1"/>
  <c r="E7" i="6"/>
  <c r="E8" i="6"/>
  <c r="F8" i="6" s="1"/>
  <c r="E9" i="6"/>
  <c r="E10" i="6"/>
  <c r="E11" i="6"/>
  <c r="F11" i="6" s="1"/>
  <c r="E12" i="6"/>
  <c r="F12" i="6" s="1"/>
  <c r="E13" i="6"/>
  <c r="F13" i="6" s="1"/>
  <c r="E14" i="6"/>
  <c r="F14" i="6" s="1"/>
  <c r="E15" i="6"/>
  <c r="E16" i="6"/>
  <c r="E17" i="6"/>
  <c r="E18" i="6"/>
  <c r="E19" i="6"/>
  <c r="F19" i="6" s="1"/>
  <c r="E20" i="6"/>
  <c r="F20" i="6" s="1"/>
  <c r="E21" i="6"/>
  <c r="F21" i="6" s="1"/>
  <c r="E22" i="6"/>
  <c r="F22" i="6" s="1"/>
  <c r="E23" i="6"/>
  <c r="E24" i="6"/>
  <c r="E25" i="6"/>
  <c r="E26" i="6"/>
  <c r="E27" i="6"/>
  <c r="F27" i="6" s="1"/>
  <c r="E28" i="6"/>
  <c r="F28" i="6" s="1"/>
  <c r="E29" i="6"/>
  <c r="F29" i="6" s="1"/>
  <c r="E30" i="6"/>
  <c r="F30" i="6" s="1"/>
  <c r="E31" i="6"/>
  <c r="E32" i="6"/>
  <c r="E33" i="6"/>
  <c r="E34" i="6"/>
  <c r="E35" i="6"/>
  <c r="F35" i="6" s="1"/>
  <c r="E36" i="6"/>
  <c r="F36" i="6" s="1"/>
  <c r="E37" i="6"/>
  <c r="F37" i="6" s="1"/>
  <c r="E38" i="6"/>
  <c r="F38" i="6" s="1"/>
  <c r="E39" i="6"/>
  <c r="E40" i="6"/>
  <c r="E41" i="6"/>
  <c r="E42" i="6"/>
  <c r="E43" i="6"/>
  <c r="F43" i="6" s="1"/>
  <c r="E44" i="6"/>
  <c r="F44" i="6" s="1"/>
  <c r="E45" i="6"/>
  <c r="F45" i="6" s="1"/>
  <c r="E46" i="6"/>
  <c r="F46" i="6" s="1"/>
  <c r="E47" i="6"/>
  <c r="E48" i="6"/>
  <c r="E49" i="6"/>
  <c r="E50" i="6"/>
  <c r="E51" i="6"/>
  <c r="F51" i="6" s="1"/>
  <c r="E52" i="6"/>
  <c r="F52" i="6" s="1"/>
  <c r="E53" i="6"/>
  <c r="F53" i="6" s="1"/>
  <c r="E54" i="6"/>
  <c r="F54" i="6" s="1"/>
  <c r="E55" i="6"/>
  <c r="E56" i="6"/>
  <c r="E57" i="6"/>
  <c r="E58" i="6"/>
  <c r="E59" i="6"/>
  <c r="F59" i="6" s="1"/>
  <c r="E60" i="6"/>
  <c r="F60" i="6" s="1"/>
  <c r="E61" i="6"/>
  <c r="F61" i="6" s="1"/>
  <c r="E62" i="6"/>
  <c r="F62" i="6" s="1"/>
  <c r="E63" i="6"/>
  <c r="E64" i="6"/>
  <c r="E65" i="6"/>
  <c r="E66" i="6"/>
  <c r="E67" i="6"/>
  <c r="F67" i="6" s="1"/>
  <c r="E68" i="6"/>
  <c r="F68" i="6" s="1"/>
  <c r="E69" i="6"/>
  <c r="F69" i="6" s="1"/>
  <c r="E70" i="6"/>
  <c r="F70" i="6" s="1"/>
  <c r="E71" i="6"/>
  <c r="E72" i="6"/>
  <c r="E73" i="6"/>
  <c r="E74" i="6"/>
  <c r="E75" i="6"/>
  <c r="F75" i="6" s="1"/>
  <c r="E76" i="6"/>
  <c r="F76" i="6" s="1"/>
  <c r="E77" i="6"/>
  <c r="F77" i="6" s="1"/>
  <c r="E78" i="6"/>
  <c r="F78" i="6" s="1"/>
  <c r="E79" i="6"/>
  <c r="E80" i="6"/>
  <c r="E81" i="6"/>
  <c r="E82" i="6"/>
  <c r="E83" i="6"/>
  <c r="F83" i="6" s="1"/>
  <c r="E84" i="6"/>
  <c r="F84" i="6" s="1"/>
  <c r="E85" i="6"/>
  <c r="F85" i="6" s="1"/>
  <c r="E86" i="6"/>
  <c r="F86" i="6" s="1"/>
  <c r="E87" i="6"/>
  <c r="E88" i="6"/>
  <c r="E89" i="6"/>
  <c r="E90" i="6"/>
  <c r="E91" i="6"/>
  <c r="F91" i="6" s="1"/>
  <c r="E92" i="6"/>
  <c r="F92" i="6" s="1"/>
  <c r="E93" i="6"/>
  <c r="F93" i="6" s="1"/>
  <c r="E94" i="6"/>
  <c r="F94" i="6" s="1"/>
  <c r="E95" i="6"/>
  <c r="E96" i="6"/>
  <c r="E97" i="6"/>
  <c r="E98" i="6"/>
  <c r="E99" i="6"/>
  <c r="F99" i="6" s="1"/>
  <c r="E100" i="6"/>
  <c r="F100" i="6" s="1"/>
  <c r="E101" i="6"/>
  <c r="F101" i="6" s="1"/>
  <c r="E102" i="6"/>
  <c r="F102" i="6" s="1"/>
  <c r="E103" i="6"/>
  <c r="E104" i="6"/>
  <c r="E105" i="6"/>
  <c r="E106" i="6"/>
  <c r="E107" i="6"/>
  <c r="F107" i="6" s="1"/>
  <c r="E108" i="6"/>
  <c r="F108" i="6" s="1"/>
  <c r="E109" i="6"/>
  <c r="F109" i="6" s="1"/>
  <c r="E110" i="6"/>
  <c r="F110" i="6" s="1"/>
  <c r="E111" i="6"/>
  <c r="E112" i="6"/>
  <c r="E113" i="6"/>
  <c r="E114" i="6"/>
  <c r="E115" i="6"/>
  <c r="F115" i="6" s="1"/>
  <c r="E116" i="6"/>
  <c r="F116" i="6" s="1"/>
  <c r="E117" i="6"/>
  <c r="F117" i="6" s="1"/>
  <c r="E118" i="6"/>
  <c r="F118" i="6" s="1"/>
  <c r="E119" i="6"/>
  <c r="E120" i="6"/>
  <c r="E121" i="6"/>
  <c r="E122" i="6"/>
  <c r="E123" i="6"/>
  <c r="F123" i="6" s="1"/>
  <c r="E124" i="6"/>
  <c r="F124" i="6" s="1"/>
  <c r="E125" i="6"/>
  <c r="F125" i="6" s="1"/>
  <c r="E126" i="6"/>
  <c r="F126" i="6" s="1"/>
  <c r="E127" i="6"/>
  <c r="E128" i="6"/>
  <c r="E129" i="6"/>
  <c r="E130" i="6"/>
  <c r="E131" i="6"/>
  <c r="F131" i="6" s="1"/>
  <c r="E132" i="6"/>
  <c r="F132" i="6" s="1"/>
  <c r="E133" i="6"/>
  <c r="F133" i="6" s="1"/>
  <c r="E134" i="6"/>
  <c r="F134" i="6" s="1"/>
  <c r="E135" i="6"/>
  <c r="E136" i="6"/>
  <c r="E137" i="6"/>
  <c r="E138" i="6"/>
  <c r="E139" i="6"/>
  <c r="F139" i="6" s="1"/>
  <c r="E140" i="6"/>
  <c r="F140" i="6" s="1"/>
  <c r="E141" i="6"/>
  <c r="F141" i="6" s="1"/>
  <c r="E142" i="6"/>
  <c r="F142" i="6" s="1"/>
  <c r="E143" i="6"/>
  <c r="E144" i="6"/>
  <c r="E145" i="6"/>
  <c r="E146" i="6"/>
  <c r="E147" i="6"/>
  <c r="F147" i="6" s="1"/>
  <c r="E148" i="6"/>
  <c r="F148" i="6" s="1"/>
  <c r="E149" i="6"/>
  <c r="F149" i="6" s="1"/>
  <c r="E150" i="6"/>
  <c r="F150" i="6" s="1"/>
  <c r="E151" i="6"/>
  <c r="E152" i="6"/>
  <c r="E153" i="6"/>
  <c r="E154" i="6"/>
  <c r="E155" i="6"/>
  <c r="F155" i="6" s="1"/>
  <c r="E156" i="6"/>
  <c r="F156" i="6" s="1"/>
  <c r="E157" i="6"/>
  <c r="F157" i="6" s="1"/>
  <c r="E158" i="6"/>
  <c r="F158" i="6" s="1"/>
  <c r="E159" i="6"/>
  <c r="E160" i="6"/>
  <c r="E161" i="6"/>
  <c r="E162" i="6"/>
  <c r="E163" i="6"/>
  <c r="F163" i="6" s="1"/>
  <c r="E164" i="6"/>
  <c r="F164" i="6" s="1"/>
  <c r="E165" i="6"/>
  <c r="F165" i="6" s="1"/>
  <c r="E166" i="6"/>
  <c r="F166" i="6" s="1"/>
  <c r="E167" i="6"/>
  <c r="E168" i="6"/>
  <c r="E169" i="6"/>
  <c r="E170" i="6"/>
  <c r="E171" i="6"/>
  <c r="F171" i="6" s="1"/>
  <c r="E172" i="6"/>
  <c r="F172" i="6" s="1"/>
  <c r="E173" i="6"/>
  <c r="F173" i="6" s="1"/>
  <c r="E174" i="6"/>
  <c r="F174" i="6" s="1"/>
  <c r="E175" i="6"/>
  <c r="E176" i="6"/>
  <c r="E177" i="6"/>
  <c r="E178" i="6"/>
  <c r="E179" i="6"/>
  <c r="F179" i="6" s="1"/>
  <c r="E180" i="6"/>
  <c r="F180" i="6" s="1"/>
  <c r="E181" i="6"/>
  <c r="F181" i="6" s="1"/>
  <c r="E182" i="6"/>
  <c r="F182" i="6" s="1"/>
  <c r="E183" i="6"/>
  <c r="E184" i="6"/>
  <c r="E185" i="6"/>
  <c r="E186" i="6"/>
  <c r="E187" i="6"/>
  <c r="F187" i="6" s="1"/>
  <c r="E188" i="6"/>
  <c r="F188" i="6" s="1"/>
  <c r="E189" i="6"/>
  <c r="F189" i="6" s="1"/>
  <c r="E190" i="6"/>
  <c r="F190" i="6" s="1"/>
  <c r="E191" i="6"/>
  <c r="E192" i="6"/>
  <c r="E193" i="6"/>
  <c r="E194" i="6"/>
  <c r="E195" i="6"/>
  <c r="F195" i="6" s="1"/>
  <c r="E196" i="6"/>
  <c r="F196" i="6" s="1"/>
  <c r="E197" i="6"/>
  <c r="F197" i="6" s="1"/>
  <c r="E198" i="6"/>
  <c r="F198" i="6" s="1"/>
  <c r="E199" i="6"/>
  <c r="E200" i="6"/>
  <c r="E201" i="6"/>
  <c r="E202" i="6"/>
  <c r="E203" i="6"/>
  <c r="F203" i="6" s="1"/>
  <c r="E204" i="6"/>
  <c r="F204" i="6" s="1"/>
  <c r="E205" i="6"/>
  <c r="F205" i="6" s="1"/>
  <c r="E206" i="6"/>
  <c r="F206" i="6" s="1"/>
  <c r="E207" i="6"/>
  <c r="E208" i="6"/>
  <c r="E209" i="6"/>
  <c r="E210" i="6"/>
  <c r="E211" i="6"/>
  <c r="F211" i="6" s="1"/>
  <c r="E212" i="6"/>
  <c r="F212" i="6" s="1"/>
  <c r="E213" i="6"/>
  <c r="F213" i="6" s="1"/>
  <c r="E214" i="6"/>
  <c r="F214" i="6" s="1"/>
  <c r="E215" i="6"/>
  <c r="E216" i="6"/>
  <c r="E217" i="6"/>
  <c r="E218" i="6"/>
  <c r="E219" i="6"/>
  <c r="F219" i="6" s="1"/>
  <c r="E220" i="6"/>
  <c r="F220" i="6" s="1"/>
  <c r="E221" i="6"/>
  <c r="F221" i="6" s="1"/>
  <c r="E222" i="6"/>
  <c r="F222" i="6" s="1"/>
  <c r="E223" i="6"/>
  <c r="E224" i="6"/>
  <c r="E225" i="6"/>
  <c r="E226" i="6"/>
  <c r="E227" i="6"/>
  <c r="F227" i="6" s="1"/>
  <c r="E228" i="6"/>
  <c r="F228" i="6" s="1"/>
  <c r="E229" i="6"/>
  <c r="F229" i="6" s="1"/>
  <c r="E230" i="6"/>
  <c r="F230" i="6" s="1"/>
  <c r="E231" i="6"/>
  <c r="E232" i="6"/>
  <c r="E233" i="6"/>
  <c r="E234" i="6"/>
  <c r="E235" i="6"/>
  <c r="F235" i="6" s="1"/>
  <c r="E236" i="6"/>
  <c r="F236" i="6" s="1"/>
  <c r="E237" i="6"/>
  <c r="F237" i="6" s="1"/>
  <c r="E238" i="6"/>
  <c r="F238" i="6" s="1"/>
  <c r="E239" i="6"/>
  <c r="E240" i="6"/>
  <c r="E241" i="6"/>
  <c r="E242" i="6"/>
  <c r="E243" i="6"/>
  <c r="F243" i="6" s="1"/>
  <c r="E244" i="6"/>
  <c r="F244" i="6" s="1"/>
  <c r="E245" i="6"/>
  <c r="F245" i="6" s="1"/>
  <c r="E246" i="6"/>
  <c r="F246" i="6" s="1"/>
  <c r="E247" i="6"/>
  <c r="E248" i="6"/>
  <c r="E249" i="6"/>
  <c r="E250" i="6"/>
  <c r="E251" i="6"/>
  <c r="F251" i="6" s="1"/>
  <c r="E252" i="6"/>
  <c r="F252" i="6" s="1"/>
  <c r="E253" i="6"/>
  <c r="F253" i="6" s="1"/>
  <c r="E254" i="6"/>
  <c r="F254" i="6" s="1"/>
  <c r="E255" i="6"/>
  <c r="E3" i="6"/>
  <c r="E2" i="6"/>
  <c r="H2" i="6"/>
  <c r="J255" i="5"/>
  <c r="J254" i="5"/>
  <c r="J253" i="5"/>
  <c r="J252" i="5"/>
  <c r="J251" i="5"/>
  <c r="J250" i="5"/>
  <c r="J249" i="5"/>
  <c r="J248" i="5"/>
  <c r="J247" i="5"/>
  <c r="J246" i="5"/>
  <c r="J245" i="5"/>
  <c r="J244" i="5"/>
  <c r="J243" i="5"/>
  <c r="J242" i="5"/>
  <c r="J241" i="5"/>
  <c r="J240" i="5"/>
  <c r="J239" i="5"/>
  <c r="J238" i="5"/>
  <c r="J237" i="5"/>
  <c r="J236" i="5"/>
  <c r="J235" i="5"/>
  <c r="J234" i="5"/>
  <c r="J233" i="5"/>
  <c r="J232" i="5"/>
  <c r="J231" i="5"/>
  <c r="J230" i="5"/>
  <c r="J229" i="5"/>
  <c r="J228" i="5"/>
  <c r="J227" i="5"/>
  <c r="J226" i="5"/>
  <c r="J225" i="5"/>
  <c r="J224" i="5"/>
  <c r="J223" i="5"/>
  <c r="J222" i="5"/>
  <c r="J221" i="5"/>
  <c r="J220" i="5"/>
  <c r="J219" i="5"/>
  <c r="J218" i="5"/>
  <c r="J217" i="5"/>
  <c r="J216" i="5"/>
  <c r="J215" i="5"/>
  <c r="J214" i="5"/>
  <c r="J213" i="5"/>
  <c r="J212" i="5"/>
  <c r="J211" i="5"/>
  <c r="J210" i="5"/>
  <c r="J209" i="5"/>
  <c r="J208" i="5"/>
  <c r="J207" i="5"/>
  <c r="J206" i="5"/>
  <c r="J205" i="5"/>
  <c r="J204" i="5"/>
  <c r="J203" i="5"/>
  <c r="J202" i="5"/>
  <c r="J201" i="5"/>
  <c r="J200" i="5"/>
  <c r="J199" i="5"/>
  <c r="J198" i="5"/>
  <c r="J197" i="5"/>
  <c r="J196" i="5"/>
  <c r="J195" i="5"/>
  <c r="J194" i="5"/>
  <c r="J193" i="5"/>
  <c r="J192" i="5"/>
  <c r="J191" i="5"/>
  <c r="J190" i="5"/>
  <c r="J189" i="5"/>
  <c r="J188" i="5"/>
  <c r="J187" i="5"/>
  <c r="J186" i="5"/>
  <c r="J185" i="5"/>
  <c r="J184" i="5"/>
  <c r="J183" i="5"/>
  <c r="J182" i="5"/>
  <c r="J181" i="5"/>
  <c r="J180" i="5"/>
  <c r="J179" i="5"/>
  <c r="J178" i="5"/>
  <c r="J177" i="5"/>
  <c r="J176" i="5"/>
  <c r="J175" i="5"/>
  <c r="J174" i="5"/>
  <c r="J173" i="5"/>
  <c r="J172" i="5"/>
  <c r="J171" i="5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J140" i="5"/>
  <c r="J139" i="5"/>
  <c r="J138" i="5"/>
  <c r="J137" i="5"/>
  <c r="J136" i="5"/>
  <c r="J135" i="5"/>
  <c r="J134" i="5"/>
  <c r="J133" i="5"/>
  <c r="J132" i="5"/>
  <c r="J131" i="5"/>
  <c r="J130" i="5"/>
  <c r="J129" i="5"/>
  <c r="J128" i="5"/>
  <c r="J127" i="5"/>
  <c r="J126" i="5"/>
  <c r="J125" i="5"/>
  <c r="J124" i="5"/>
  <c r="J123" i="5"/>
  <c r="J122" i="5"/>
  <c r="J121" i="5"/>
  <c r="J120" i="5"/>
  <c r="J119" i="5"/>
  <c r="J118" i="5"/>
  <c r="J117" i="5"/>
  <c r="J116" i="5"/>
  <c r="J115" i="5"/>
  <c r="J114" i="5"/>
  <c r="J113" i="5"/>
  <c r="J112" i="5"/>
  <c r="J111" i="5"/>
  <c r="J110" i="5"/>
  <c r="J109" i="5"/>
  <c r="J108" i="5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11" i="5"/>
  <c r="J10" i="5"/>
  <c r="J9" i="5"/>
  <c r="J8" i="5"/>
  <c r="J7" i="5"/>
  <c r="J6" i="5"/>
  <c r="J5" i="5"/>
  <c r="J4" i="5"/>
  <c r="J3" i="5"/>
  <c r="J2" i="5"/>
  <c r="J2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6" i="1"/>
  <c r="J3" i="1"/>
  <c r="J4" i="1"/>
  <c r="J5" i="1"/>
</calcChain>
</file>

<file path=xl/sharedStrings.xml><?xml version="1.0" encoding="utf-8"?>
<sst xmlns="http://schemas.openxmlformats.org/spreadsheetml/2006/main" count="2656" uniqueCount="289">
  <si>
    <t>ASX Code</t>
  </si>
  <si>
    <t>Date</t>
  </si>
  <si>
    <t>Open</t>
  </si>
  <si>
    <t>High</t>
  </si>
  <si>
    <t>Low</t>
  </si>
  <si>
    <t>Close</t>
  </si>
  <si>
    <t>Volume</t>
  </si>
  <si>
    <t>Market Capitalisation($m)</t>
  </si>
  <si>
    <t>Shares on Issue</t>
  </si>
  <si>
    <t>GMD</t>
  </si>
  <si>
    <t>31/12/2024</t>
  </si>
  <si>
    <t>30/12/2024</t>
  </si>
  <si>
    <t>27/12/2024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</si>
  <si>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</si>
  <si>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</si>
  <si>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</si>
  <si>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</si>
  <si>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</si>
  <si>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</si>
  <si>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</si>
  <si>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</si>
  <si>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</si>
  <si>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</si>
  <si>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</si>
  <si>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</si>
  <si>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</si>
  <si>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</si>
  <si>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</si>
  <si>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</si>
  <si>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</si>
  <si>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</si>
  <si>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</si>
  <si>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</si>
  <si>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</si>
  <si>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</si>
  <si>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</si>
  <si>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</si>
  <si>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</si>
  <si>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</si>
  <si>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</si>
  <si>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</si>
  <si>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</si>
  <si>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</si>
  <si>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</si>
  <si>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</si>
  <si>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</si>
  <si>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</si>
  <si>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</si>
  <si>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</si>
  <si>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</si>
  <si>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</si>
  <si>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</si>
  <si>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</si>
  <si>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</si>
  <si>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</si>
  <si>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</si>
  <si>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</si>
  <si>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</si>
  <si>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</si>
  <si>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</si>
  <si>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</si>
  <si>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</si>
  <si>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</si>
  <si>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</si>
  <si>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</si>
  <si>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</si>
  <si>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</si>
  <si>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</si>
  <si>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</si>
  <si>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</si>
  <si>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</si>
  <si>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</si>
  <si>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</si>
  <si>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</si>
  <si>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</si>
  <si>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</si>
  <si>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</si>
  <si>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</si>
  <si>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</si>
  <si>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</si>
  <si>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</si>
  <si>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</si>
  <si>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</si>
  <si>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</si>
  <si>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</si>
  <si>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</si>
  <si>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</si>
  <si>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</si>
  <si>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</si>
  <si>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</si>
  <si>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</si>
  <si>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</si>
  <si>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</si>
  <si>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03/09/2024</t>
  </si>
  <si>
    <t>02/09/2024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</si>
  <si>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</si>
  <si>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</si>
  <si>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</si>
  <si>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</si>
  <si>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</si>
  <si>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</si>
  <si>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</si>
  <si>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</si>
  <si>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</si>
  <si>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</si>
  <si>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</si>
  <si>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</si>
  <si>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</si>
  <si>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</si>
  <si>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</si>
  <si>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</si>
  <si>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</si>
  <si>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</si>
  <si>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</si>
  <si>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</si>
  <si>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</si>
  <si>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</si>
  <si>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</si>
  <si>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</si>
  <si>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</si>
  <si>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</si>
  <si>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</si>
  <si>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</si>
  <si>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</si>
  <si>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</si>
  <si>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</si>
  <si>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</si>
  <si>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</si>
  <si>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</si>
  <si>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</si>
  <si>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</si>
  <si>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</si>
  <si>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</si>
  <si>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</si>
  <si>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</si>
  <si>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</si>
  <si>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</si>
  <si>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</si>
  <si>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</si>
  <si>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</si>
  <si>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</si>
  <si>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</si>
  <si>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</si>
  <si>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</si>
  <si>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</si>
  <si>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</si>
  <si>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</si>
  <si>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</si>
  <si>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</si>
  <si>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</si>
  <si>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</si>
  <si>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</si>
  <si>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</si>
  <si>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</si>
  <si>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</si>
  <si>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</si>
  <si>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</si>
  <si>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</si>
  <si>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</si>
  <si>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</si>
  <si>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</si>
  <si>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</si>
  <si>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</si>
  <si>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</si>
  <si>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</si>
  <si>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</si>
  <si>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</si>
  <si>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</si>
  <si>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</si>
  <si>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</si>
  <si>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</si>
  <si>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</si>
  <si>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</si>
  <si>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</si>
  <si>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</si>
  <si>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</si>
  <si>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</si>
  <si>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</si>
  <si>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</si>
  <si>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</si>
  <si>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</si>
  <si>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01/05/2024</t>
  </si>
  <si>
    <t>30/04/2024</t>
  </si>
  <si>
    <t>29/04/2024</t>
  </si>
  <si>
    <t>26/04/2024</t>
  </si>
  <si>
    <t>24/04/2024</t>
  </si>
  <si>
    <t>23/04/2024</t>
  </si>
  <si>
    <t>22/04/2024</t>
  </si>
  <si>
    <t>19/04/2024</t>
  </si>
  <si>
    <t>18/04/2024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</si>
  <si>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</si>
  <si>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</si>
  <si>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</si>
  <si>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</si>
  <si>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</si>
  <si>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</si>
  <si>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</si>
  <si>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</si>
  <si>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</si>
  <si>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</si>
  <si>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</si>
  <si>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</si>
  <si>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</si>
  <si>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</si>
  <si>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</si>
  <si>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</si>
  <si>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</si>
  <si>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</si>
  <si>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</si>
  <si>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</si>
  <si>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</si>
  <si>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</si>
  <si>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</si>
  <si>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</si>
  <si>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</si>
  <si>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</si>
  <si>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</si>
  <si>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</si>
  <si>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</si>
  <si>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</si>
  <si>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</si>
  <si>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</si>
  <si>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</si>
  <si>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</si>
  <si>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</si>
  <si>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</si>
  <si>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</si>
  <si>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</si>
  <si>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</si>
  <si>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</si>
  <si>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</si>
  <si>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</si>
  <si>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</si>
  <si>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14/02/2024</t>
  </si>
  <si>
    <t>13/02/2024</t>
  </si>
  <si>
    <t>12/02/2024</t>
  </si>
  <si>
    <t>09/02/2024</t>
  </si>
  <si>
    <t>08/02/2024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</si>
  <si>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</si>
  <si>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</si>
  <si>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</si>
  <si>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</si>
  <si>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</si>
  <si>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</si>
  <si>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</si>
  <si>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</si>
  <si>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</si>
  <si>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</si>
  <si>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</si>
  <si>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</si>
  <si>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</si>
  <si>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</si>
  <si>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</si>
  <si>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</si>
  <si>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</si>
  <si>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</si>
  <si>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</si>
  <si>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</si>
  <si>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</si>
  <si>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</si>
  <si>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</si>
  <si>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</si>
  <si>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</si>
  <si>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</si>
  <si>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Earnings</t>
  </si>
  <si>
    <t>PE</t>
  </si>
  <si>
    <t>date</t>
  </si>
  <si>
    <t>price</t>
  </si>
  <si>
    <t>shares</t>
  </si>
  <si>
    <t>value</t>
  </si>
  <si>
    <t>cash in hand</t>
  </si>
  <si>
    <t>Market Value</t>
  </si>
  <si>
    <t>Portfolio</t>
  </si>
  <si>
    <t>Profit%</t>
  </si>
  <si>
    <t>Notes</t>
  </si>
  <si>
    <t>Buy</t>
  </si>
  <si>
    <t>Sell</t>
  </si>
  <si>
    <t>Total Returns (%)</t>
  </si>
  <si>
    <t>Total Returns(%)</t>
  </si>
  <si>
    <t>Amount invested</t>
  </si>
  <si>
    <t>Shares purchased</t>
  </si>
  <si>
    <t>No. of shares</t>
  </si>
  <si>
    <t>1000/1.74=574 shares(rounded off)</t>
  </si>
  <si>
    <t>Cash balance = 1000-(574*1.74)= $1.24</t>
  </si>
  <si>
    <t xml:space="preserve"> Close price</t>
  </si>
  <si>
    <t>Invested value($)</t>
  </si>
  <si>
    <t>Cash Balance($)</t>
  </si>
  <si>
    <t xml:space="preserve">Buy </t>
  </si>
  <si>
    <t xml:space="preserve"> Close price($)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</si>
</sst>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#,##0.00##"/>
    <numFmt numFmtId="165" formatCode="[$-C09]d\ mmmm\ yyyy;@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indexed="8"/>
      <name val="Calibri"/>
      <family val="2"/>
    </font>
    <font>
      <sz val="11"/>
      <color rgb="FF333333"/>
      <name val="Verdana"/>
      <family val="2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44" fontId="2" fillId="2" borderId="0" xfId="1" applyFont="1" applyFill="1" applyAlignment="1">
      <alignment horizontal="center"/>
    </xf>
    <xf numFmtId="44" fontId="0" fillId="0" borderId="0" xfId="1" applyFont="1"/>
    <xf numFmtId="165" fontId="2" fillId="2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44" fontId="0" fillId="0" borderId="0" xfId="1" applyFont="1" applyAlignment="1">
      <alignment horizontal="right"/>
    </xf>
    <xf numFmtId="165" fontId="0" fillId="0" borderId="0" xfId="0" applyNumberFormat="1"/>
    <xf numFmtId="6" fontId="0" fillId="0" borderId="0" xfId="0" applyNumberFormat="1"/>
    <xf numFmtId="44" fontId="0" fillId="0" borderId="0" xfId="0" applyNumberFormat="1"/>
    <xf numFmtId="8" fontId="0" fillId="0" borderId="0" xfId="0" applyNumberFormat="1"/>
    <xf numFmtId="14" fontId="0" fillId="0" borderId="0" xfId="0" applyNumberFormat="1"/>
    <xf numFmtId="2" fontId="0" fillId="0" borderId="0" xfId="0" applyNumberFormat="1"/>
    <xf numFmtId="9" fontId="0" fillId="0" borderId="0" xfId="0" applyNumberFormat="1"/>
    <xf numFmtId="2" fontId="0" fillId="0" borderId="0" xfId="2" applyNumberFormat="1" applyFont="1"/>
    <xf numFmtId="2" fontId="3" fillId="0" borderId="0" xfId="0" applyNumberFormat="1" applyFont="1"/>
    <xf numFmtId="2" fontId="2" fillId="2" borderId="0" xfId="1" applyNumberFormat="1" applyFont="1" applyFill="1" applyAlignment="1">
      <alignment horizontal="center"/>
    </xf>
    <xf numFmtId="2" fontId="0" fillId="0" borderId="0" xfId="1" applyNumberFormat="1" applyFont="1"/>
    <xf numFmtId="165" fontId="0" fillId="3" borderId="0" xfId="0" applyNumberFormat="1" applyFill="1" applyAlignment="1">
      <alignment horizontal="center"/>
    </xf>
    <xf numFmtId="44" fontId="0" fillId="3" borderId="0" xfId="1" applyFont="1" applyFill="1"/>
    <xf numFmtId="44" fontId="0" fillId="3" borderId="0" xfId="0" applyNumberFormat="1" applyFill="1"/>
    <xf numFmtId="0" fontId="0" fillId="3" borderId="0" xfId="0" applyFill="1"/>
    <xf numFmtId="165" fontId="0" fillId="4" borderId="0" xfId="0" applyNumberFormat="1" applyFill="1" applyAlignment="1">
      <alignment horizontal="center"/>
    </xf>
    <xf numFmtId="44" fontId="0" fillId="4" borderId="0" xfId="1" applyFont="1" applyFill="1"/>
    <xf numFmtId="44" fontId="0" fillId="4" borderId="0" xfId="0" applyNumberFormat="1" applyFill="1"/>
    <xf numFmtId="0" fontId="0" fillId="4" borderId="0" xfId="0" applyFill="1"/>
    <xf numFmtId="165" fontId="0" fillId="5" borderId="0" xfId="0" applyNumberFormat="1" applyFill="1" applyAlignment="1">
      <alignment horizontal="center"/>
    </xf>
    <xf numFmtId="44" fontId="0" fillId="5" borderId="0" xfId="1" applyFont="1" applyFill="1"/>
    <xf numFmtId="44" fontId="0" fillId="5" borderId="0" xfId="0" applyNumberFormat="1" applyFill="1"/>
    <xf numFmtId="0" fontId="0" fillId="5" borderId="0" xfId="0" applyFill="1"/>
    <xf numFmtId="165" fontId="0" fillId="6" borderId="0" xfId="0" applyNumberFormat="1" applyFill="1" applyAlignment="1">
      <alignment horizontal="center"/>
    </xf>
    <xf numFmtId="44" fontId="0" fillId="6" borderId="0" xfId="1" applyFont="1" applyFill="1"/>
    <xf numFmtId="44" fontId="0" fillId="6" borderId="0" xfId="0" applyNumberFormat="1" applyFill="1"/>
    <xf numFmtId="0" fontId="0" fillId="6" borderId="0" xfId="0" applyFill="1"/>
    <xf numFmtId="165" fontId="0" fillId="7" borderId="0" xfId="0" applyNumberFormat="1" applyFill="1" applyAlignment="1">
      <alignment horizontal="center"/>
    </xf>
    <xf numFmtId="44" fontId="0" fillId="7" borderId="0" xfId="1" applyFont="1" applyFill="1"/>
    <xf numFmtId="44" fontId="0" fillId="7" borderId="0" xfId="0" applyNumberFormat="1" applyFill="1"/>
    <xf numFmtId="0" fontId="0" fillId="7" borderId="0" xfId="0" applyFill="1"/>
    <xf numFmtId="165" fontId="0" fillId="8" borderId="0" xfId="0" applyNumberFormat="1" applyFill="1" applyAlignment="1">
      <alignment horizontal="center"/>
    </xf>
    <xf numFmtId="44" fontId="0" fillId="8" borderId="0" xfId="1" applyFont="1" applyFill="1"/>
    <xf numFmtId="44" fontId="0" fillId="8" borderId="0" xfId="0" applyNumberFormat="1" applyFill="1"/>
    <xf numFmtId="0" fontId="0" fillId="8" borderId="0" xfId="0" applyFill="1"/>
    <xf numFmtId="9" fontId="0" fillId="0" borderId="0" xfId="2" applyFont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BE00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Closing</a:t>
            </a:r>
            <a:r>
              <a:rPr lang="en-GB" baseline="0"/>
              <a:t> price vs Volume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0.12254567583962185"/>
          <c:y val="0.10371893560819238"/>
          <c:w val="0.81736349767968541"/>
          <c:h val="0.6848996184053403"/>
        </c:manualLayout>
      </c:layout>
      <c:lineChart>
        <c:grouping val="standard"/>
        <c:varyColors val="0"/>
        <c:ser>
          <c:idx val="1"/>
          <c:order val="1"/>
          <c:tx>
            <c:strRef>
              <c:f>'closing price vs volume'!$G$1</c:f>
              <c:strCache>
                <c:ptCount val="1"/>
                <c:pt idx="0">
                  <c:v>Volume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55"/>
              <c:layout>
                <c:manualLayout>
                  <c:x val="-0.13624105823718519"/>
                  <c:y val="8.9541987435253823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23D-8649-BA6B-C3A4270BFFCD}"/>
                </c:ext>
              </c:extLst>
            </c:dLbl>
            <c:dLbl>
              <c:idx val="203"/>
              <c:layout>
                <c:manualLayout>
                  <c:x val="2.6623524363103678E-2"/>
                  <c:y val="6.69739847580681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3D-8649-BA6B-C3A4270BFF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2">
                        <a:lumMod val="60000"/>
                        <a:lumOff val="4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'closing price vs volume'!$B$2:$B$255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'closing price vs volume'!$G$2:$G$255</c:f>
              <c:numCache>
                <c:formatCode>#,##0.00##</c:formatCode>
                <c:ptCount val="254"/>
                <c:pt idx="0">
                  <c:v>1691953</c:v>
                </c:pt>
                <c:pt idx="1">
                  <c:v>2158486</c:v>
                </c:pt>
                <c:pt idx="2">
                  <c:v>4297585</c:v>
                </c:pt>
                <c:pt idx="3">
                  <c:v>2078349</c:v>
                </c:pt>
                <c:pt idx="4">
                  <c:v>2400388</c:v>
                </c:pt>
                <c:pt idx="5">
                  <c:v>2406963</c:v>
                </c:pt>
                <c:pt idx="6">
                  <c:v>1291516</c:v>
                </c:pt>
                <c:pt idx="7">
                  <c:v>2849643</c:v>
                </c:pt>
                <c:pt idx="8">
                  <c:v>3232746</c:v>
                </c:pt>
                <c:pt idx="9">
                  <c:v>1598296</c:v>
                </c:pt>
                <c:pt idx="10">
                  <c:v>2079745</c:v>
                </c:pt>
                <c:pt idx="11">
                  <c:v>2819960</c:v>
                </c:pt>
                <c:pt idx="12">
                  <c:v>2256374</c:v>
                </c:pt>
                <c:pt idx="13">
                  <c:v>1678880</c:v>
                </c:pt>
                <c:pt idx="14">
                  <c:v>1900865</c:v>
                </c:pt>
                <c:pt idx="15">
                  <c:v>2114082</c:v>
                </c:pt>
                <c:pt idx="16">
                  <c:v>4654978</c:v>
                </c:pt>
                <c:pt idx="17">
                  <c:v>2058873</c:v>
                </c:pt>
                <c:pt idx="18">
                  <c:v>4010051</c:v>
                </c:pt>
                <c:pt idx="19">
                  <c:v>2171692</c:v>
                </c:pt>
                <c:pt idx="20">
                  <c:v>2709345</c:v>
                </c:pt>
                <c:pt idx="21">
                  <c:v>2991972</c:v>
                </c:pt>
                <c:pt idx="22">
                  <c:v>4467327</c:v>
                </c:pt>
                <c:pt idx="23">
                  <c:v>4138295</c:v>
                </c:pt>
                <c:pt idx="24">
                  <c:v>2861264</c:v>
                </c:pt>
                <c:pt idx="25">
                  <c:v>1507183</c:v>
                </c:pt>
                <c:pt idx="26">
                  <c:v>2253562</c:v>
                </c:pt>
                <c:pt idx="27">
                  <c:v>2033747</c:v>
                </c:pt>
                <c:pt idx="28">
                  <c:v>1047305</c:v>
                </c:pt>
                <c:pt idx="29">
                  <c:v>1872213</c:v>
                </c:pt>
                <c:pt idx="30">
                  <c:v>2758420</c:v>
                </c:pt>
                <c:pt idx="31">
                  <c:v>3018443</c:v>
                </c:pt>
                <c:pt idx="32">
                  <c:v>2049513</c:v>
                </c:pt>
                <c:pt idx="33">
                  <c:v>1991462</c:v>
                </c:pt>
                <c:pt idx="34">
                  <c:v>1701695</c:v>
                </c:pt>
                <c:pt idx="35">
                  <c:v>3085938</c:v>
                </c:pt>
                <c:pt idx="36">
                  <c:v>1506630</c:v>
                </c:pt>
                <c:pt idx="37">
                  <c:v>1020411</c:v>
                </c:pt>
                <c:pt idx="38">
                  <c:v>1607070</c:v>
                </c:pt>
                <c:pt idx="39">
                  <c:v>3124151</c:v>
                </c:pt>
                <c:pt idx="40">
                  <c:v>2456865</c:v>
                </c:pt>
                <c:pt idx="41">
                  <c:v>7744766</c:v>
                </c:pt>
                <c:pt idx="42">
                  <c:v>4120456</c:v>
                </c:pt>
                <c:pt idx="43">
                  <c:v>4861599</c:v>
                </c:pt>
                <c:pt idx="44">
                  <c:v>9633247</c:v>
                </c:pt>
                <c:pt idx="45">
                  <c:v>7716550</c:v>
                </c:pt>
                <c:pt idx="46">
                  <c:v>5796370</c:v>
                </c:pt>
                <c:pt idx="47">
                  <c:v>9841987</c:v>
                </c:pt>
                <c:pt idx="48">
                  <c:v>3768559</c:v>
                </c:pt>
                <c:pt idx="49">
                  <c:v>2929826</c:v>
                </c:pt>
                <c:pt idx="50">
                  <c:v>4131043</c:v>
                </c:pt>
                <c:pt idx="51">
                  <c:v>9945560</c:v>
                </c:pt>
                <c:pt idx="52">
                  <c:v>17964285</c:v>
                </c:pt>
                <c:pt idx="53">
                  <c:v>2919565</c:v>
                </c:pt>
                <c:pt idx="54">
                  <c:v>2593069</c:v>
                </c:pt>
                <c:pt idx="55">
                  <c:v>2415019</c:v>
                </c:pt>
                <c:pt idx="56">
                  <c:v>6933544</c:v>
                </c:pt>
                <c:pt idx="57">
                  <c:v>10360999</c:v>
                </c:pt>
                <c:pt idx="58">
                  <c:v>7314064</c:v>
                </c:pt>
                <c:pt idx="59">
                  <c:v>4447377</c:v>
                </c:pt>
                <c:pt idx="60">
                  <c:v>5035994</c:v>
                </c:pt>
                <c:pt idx="61">
                  <c:v>4712856</c:v>
                </c:pt>
                <c:pt idx="62">
                  <c:v>4505602</c:v>
                </c:pt>
                <c:pt idx="63">
                  <c:v>5249802</c:v>
                </c:pt>
                <c:pt idx="64">
                  <c:v>4492842</c:v>
                </c:pt>
                <c:pt idx="65">
                  <c:v>2056404</c:v>
                </c:pt>
                <c:pt idx="66">
                  <c:v>5630953</c:v>
                </c:pt>
                <c:pt idx="67">
                  <c:v>3540812</c:v>
                </c:pt>
                <c:pt idx="68">
                  <c:v>4628780</c:v>
                </c:pt>
                <c:pt idx="69">
                  <c:v>7741608</c:v>
                </c:pt>
                <c:pt idx="70">
                  <c:v>8903904</c:v>
                </c:pt>
                <c:pt idx="71">
                  <c:v>4038891</c:v>
                </c:pt>
                <c:pt idx="72">
                  <c:v>4579608</c:v>
                </c:pt>
                <c:pt idx="73">
                  <c:v>4152897</c:v>
                </c:pt>
                <c:pt idx="74">
                  <c:v>5565001</c:v>
                </c:pt>
                <c:pt idx="75">
                  <c:v>6280508</c:v>
                </c:pt>
                <c:pt idx="76">
                  <c:v>4313971</c:v>
                </c:pt>
                <c:pt idx="77">
                  <c:v>5172175</c:v>
                </c:pt>
                <c:pt idx="78">
                  <c:v>2382639</c:v>
                </c:pt>
                <c:pt idx="79">
                  <c:v>2759603</c:v>
                </c:pt>
                <c:pt idx="80">
                  <c:v>4001107</c:v>
                </c:pt>
                <c:pt idx="81">
                  <c:v>3946963</c:v>
                </c:pt>
                <c:pt idx="82">
                  <c:v>3486357</c:v>
                </c:pt>
                <c:pt idx="83">
                  <c:v>2215962</c:v>
                </c:pt>
                <c:pt idx="84">
                  <c:v>4069173</c:v>
                </c:pt>
                <c:pt idx="85">
                  <c:v>2282699</c:v>
                </c:pt>
                <c:pt idx="86">
                  <c:v>2665038</c:v>
                </c:pt>
                <c:pt idx="87">
                  <c:v>2011304</c:v>
                </c:pt>
                <c:pt idx="88">
                  <c:v>1992374</c:v>
                </c:pt>
                <c:pt idx="89">
                  <c:v>8353759</c:v>
                </c:pt>
                <c:pt idx="90">
                  <c:v>1826156</c:v>
                </c:pt>
                <c:pt idx="91">
                  <c:v>2863841</c:v>
                </c:pt>
                <c:pt idx="92">
                  <c:v>1792463</c:v>
                </c:pt>
                <c:pt idx="93">
                  <c:v>2368807</c:v>
                </c:pt>
                <c:pt idx="94">
                  <c:v>1317083</c:v>
                </c:pt>
                <c:pt idx="95">
                  <c:v>3156044</c:v>
                </c:pt>
                <c:pt idx="96">
                  <c:v>6748817</c:v>
                </c:pt>
                <c:pt idx="97">
                  <c:v>3186945</c:v>
                </c:pt>
                <c:pt idx="98">
                  <c:v>3258518</c:v>
                </c:pt>
                <c:pt idx="99">
                  <c:v>2876146</c:v>
                </c:pt>
                <c:pt idx="100">
                  <c:v>2156957</c:v>
                </c:pt>
                <c:pt idx="101">
                  <c:v>2308291</c:v>
                </c:pt>
                <c:pt idx="102">
                  <c:v>5757148</c:v>
                </c:pt>
                <c:pt idx="103">
                  <c:v>9753173</c:v>
                </c:pt>
                <c:pt idx="104">
                  <c:v>7324115</c:v>
                </c:pt>
                <c:pt idx="105">
                  <c:v>3799600</c:v>
                </c:pt>
                <c:pt idx="106">
                  <c:v>2382779</c:v>
                </c:pt>
                <c:pt idx="107">
                  <c:v>3841896</c:v>
                </c:pt>
                <c:pt idx="108">
                  <c:v>6904716</c:v>
                </c:pt>
                <c:pt idx="109">
                  <c:v>6235545</c:v>
                </c:pt>
                <c:pt idx="110">
                  <c:v>8483857</c:v>
                </c:pt>
                <c:pt idx="111">
                  <c:v>4729411</c:v>
                </c:pt>
                <c:pt idx="112">
                  <c:v>2750460</c:v>
                </c:pt>
                <c:pt idx="113">
                  <c:v>3565483</c:v>
                </c:pt>
                <c:pt idx="114">
                  <c:v>3862582</c:v>
                </c:pt>
                <c:pt idx="115">
                  <c:v>2538987</c:v>
                </c:pt>
                <c:pt idx="116">
                  <c:v>3256227</c:v>
                </c:pt>
                <c:pt idx="117">
                  <c:v>3285427</c:v>
                </c:pt>
                <c:pt idx="118">
                  <c:v>13042771</c:v>
                </c:pt>
                <c:pt idx="119">
                  <c:v>2328320</c:v>
                </c:pt>
                <c:pt idx="120">
                  <c:v>3358722</c:v>
                </c:pt>
                <c:pt idx="121">
                  <c:v>3100073</c:v>
                </c:pt>
                <c:pt idx="122">
                  <c:v>2773540</c:v>
                </c:pt>
                <c:pt idx="123">
                  <c:v>3494963</c:v>
                </c:pt>
                <c:pt idx="124">
                  <c:v>1655010</c:v>
                </c:pt>
                <c:pt idx="125">
                  <c:v>1892724</c:v>
                </c:pt>
                <c:pt idx="126">
                  <c:v>1681875</c:v>
                </c:pt>
                <c:pt idx="127">
                  <c:v>2501377</c:v>
                </c:pt>
                <c:pt idx="128">
                  <c:v>2682541</c:v>
                </c:pt>
                <c:pt idx="129">
                  <c:v>2879381</c:v>
                </c:pt>
                <c:pt idx="130">
                  <c:v>2552478</c:v>
                </c:pt>
                <c:pt idx="131">
                  <c:v>3093906</c:v>
                </c:pt>
                <c:pt idx="132">
                  <c:v>5789308</c:v>
                </c:pt>
                <c:pt idx="133">
                  <c:v>9149174</c:v>
                </c:pt>
                <c:pt idx="134">
                  <c:v>4126554</c:v>
                </c:pt>
                <c:pt idx="135">
                  <c:v>7133509</c:v>
                </c:pt>
                <c:pt idx="136">
                  <c:v>5296907</c:v>
                </c:pt>
                <c:pt idx="137">
                  <c:v>5001323</c:v>
                </c:pt>
                <c:pt idx="138">
                  <c:v>6049375</c:v>
                </c:pt>
                <c:pt idx="139">
                  <c:v>3742862</c:v>
                </c:pt>
                <c:pt idx="140">
                  <c:v>6346587</c:v>
                </c:pt>
                <c:pt idx="141">
                  <c:v>5016393</c:v>
                </c:pt>
                <c:pt idx="142">
                  <c:v>5046672</c:v>
                </c:pt>
                <c:pt idx="143">
                  <c:v>4949173</c:v>
                </c:pt>
                <c:pt idx="144">
                  <c:v>2166266</c:v>
                </c:pt>
                <c:pt idx="145">
                  <c:v>2073058</c:v>
                </c:pt>
                <c:pt idx="146">
                  <c:v>3143619</c:v>
                </c:pt>
                <c:pt idx="147">
                  <c:v>2917871</c:v>
                </c:pt>
                <c:pt idx="148">
                  <c:v>4791445</c:v>
                </c:pt>
                <c:pt idx="149">
                  <c:v>2720187</c:v>
                </c:pt>
                <c:pt idx="150">
                  <c:v>2921387</c:v>
                </c:pt>
                <c:pt idx="151">
                  <c:v>2981097</c:v>
                </c:pt>
                <c:pt idx="152">
                  <c:v>1753890</c:v>
                </c:pt>
                <c:pt idx="153">
                  <c:v>2330263</c:v>
                </c:pt>
                <c:pt idx="154">
                  <c:v>2669198</c:v>
                </c:pt>
                <c:pt idx="155">
                  <c:v>44954832</c:v>
                </c:pt>
                <c:pt idx="156">
                  <c:v>2835493</c:v>
                </c:pt>
                <c:pt idx="157">
                  <c:v>3201630</c:v>
                </c:pt>
                <c:pt idx="158">
                  <c:v>3417297</c:v>
                </c:pt>
                <c:pt idx="159">
                  <c:v>4505104</c:v>
                </c:pt>
                <c:pt idx="160">
                  <c:v>1642928</c:v>
                </c:pt>
                <c:pt idx="161">
                  <c:v>2714189</c:v>
                </c:pt>
                <c:pt idx="162">
                  <c:v>1983252</c:v>
                </c:pt>
                <c:pt idx="163">
                  <c:v>1613904</c:v>
                </c:pt>
                <c:pt idx="164">
                  <c:v>2159662</c:v>
                </c:pt>
                <c:pt idx="165">
                  <c:v>2023458</c:v>
                </c:pt>
                <c:pt idx="166">
                  <c:v>2898292</c:v>
                </c:pt>
                <c:pt idx="167">
                  <c:v>4115264</c:v>
                </c:pt>
                <c:pt idx="168">
                  <c:v>4184964</c:v>
                </c:pt>
                <c:pt idx="169">
                  <c:v>3529342</c:v>
                </c:pt>
                <c:pt idx="170">
                  <c:v>4459257</c:v>
                </c:pt>
                <c:pt idx="171">
                  <c:v>3934080</c:v>
                </c:pt>
                <c:pt idx="172">
                  <c:v>4487720</c:v>
                </c:pt>
                <c:pt idx="173">
                  <c:v>4379793</c:v>
                </c:pt>
                <c:pt idx="174">
                  <c:v>3873791</c:v>
                </c:pt>
                <c:pt idx="175">
                  <c:v>3258693</c:v>
                </c:pt>
                <c:pt idx="176">
                  <c:v>3065109</c:v>
                </c:pt>
                <c:pt idx="177">
                  <c:v>3263343</c:v>
                </c:pt>
                <c:pt idx="178">
                  <c:v>6815223</c:v>
                </c:pt>
                <c:pt idx="179">
                  <c:v>4441009</c:v>
                </c:pt>
                <c:pt idx="180">
                  <c:v>4342126</c:v>
                </c:pt>
                <c:pt idx="181">
                  <c:v>4569170</c:v>
                </c:pt>
                <c:pt idx="182">
                  <c:v>4927386</c:v>
                </c:pt>
                <c:pt idx="183">
                  <c:v>16905572</c:v>
                </c:pt>
                <c:pt idx="184">
                  <c:v>3651624</c:v>
                </c:pt>
                <c:pt idx="185">
                  <c:v>5491680</c:v>
                </c:pt>
                <c:pt idx="186">
                  <c:v>4713110</c:v>
                </c:pt>
                <c:pt idx="187">
                  <c:v>4492014</c:v>
                </c:pt>
                <c:pt idx="188">
                  <c:v>4089913</c:v>
                </c:pt>
                <c:pt idx="189">
                  <c:v>5991535</c:v>
                </c:pt>
                <c:pt idx="190">
                  <c:v>3004706</c:v>
                </c:pt>
                <c:pt idx="191">
                  <c:v>4624069</c:v>
                </c:pt>
                <c:pt idx="192">
                  <c:v>2495368</c:v>
                </c:pt>
                <c:pt idx="193">
                  <c:v>2738137</c:v>
                </c:pt>
                <c:pt idx="194">
                  <c:v>2157597</c:v>
                </c:pt>
                <c:pt idx="195">
                  <c:v>2128136</c:v>
                </c:pt>
                <c:pt idx="196">
                  <c:v>1690731</c:v>
                </c:pt>
                <c:pt idx="197">
                  <c:v>1385526</c:v>
                </c:pt>
                <c:pt idx="198">
                  <c:v>2434260</c:v>
                </c:pt>
                <c:pt idx="199">
                  <c:v>2766684</c:v>
                </c:pt>
                <c:pt idx="200">
                  <c:v>2450242</c:v>
                </c:pt>
                <c:pt idx="201">
                  <c:v>4890832</c:v>
                </c:pt>
                <c:pt idx="202">
                  <c:v>11871902</c:v>
                </c:pt>
                <c:pt idx="203">
                  <c:v>42702149</c:v>
                </c:pt>
                <c:pt idx="204">
                  <c:v>5538373</c:v>
                </c:pt>
                <c:pt idx="205">
                  <c:v>4257193</c:v>
                </c:pt>
                <c:pt idx="206">
                  <c:v>7551288</c:v>
                </c:pt>
                <c:pt idx="207">
                  <c:v>4814698</c:v>
                </c:pt>
                <c:pt idx="208">
                  <c:v>3463120</c:v>
                </c:pt>
                <c:pt idx="209">
                  <c:v>3246009</c:v>
                </c:pt>
                <c:pt idx="210">
                  <c:v>3844996</c:v>
                </c:pt>
                <c:pt idx="211">
                  <c:v>5448323</c:v>
                </c:pt>
                <c:pt idx="212">
                  <c:v>2881964</c:v>
                </c:pt>
                <c:pt idx="213">
                  <c:v>3413532</c:v>
                </c:pt>
                <c:pt idx="214">
                  <c:v>2755834</c:v>
                </c:pt>
                <c:pt idx="215">
                  <c:v>1899409</c:v>
                </c:pt>
                <c:pt idx="216">
                  <c:v>3603986</c:v>
                </c:pt>
                <c:pt idx="217">
                  <c:v>7539723</c:v>
                </c:pt>
                <c:pt idx="218">
                  <c:v>6161301</c:v>
                </c:pt>
                <c:pt idx="219">
                  <c:v>4492287</c:v>
                </c:pt>
                <c:pt idx="220">
                  <c:v>7894703</c:v>
                </c:pt>
                <c:pt idx="221">
                  <c:v>5404955</c:v>
                </c:pt>
                <c:pt idx="222">
                  <c:v>4158116</c:v>
                </c:pt>
                <c:pt idx="223">
                  <c:v>2173065</c:v>
                </c:pt>
                <c:pt idx="224">
                  <c:v>3595353</c:v>
                </c:pt>
                <c:pt idx="225">
                  <c:v>3618639</c:v>
                </c:pt>
                <c:pt idx="226">
                  <c:v>3400882</c:v>
                </c:pt>
                <c:pt idx="227">
                  <c:v>2735831</c:v>
                </c:pt>
                <c:pt idx="228">
                  <c:v>2470390</c:v>
                </c:pt>
                <c:pt idx="229">
                  <c:v>7990298</c:v>
                </c:pt>
                <c:pt idx="230">
                  <c:v>2980772</c:v>
                </c:pt>
                <c:pt idx="231">
                  <c:v>2542109</c:v>
                </c:pt>
                <c:pt idx="232">
                  <c:v>2182596</c:v>
                </c:pt>
                <c:pt idx="233">
                  <c:v>1871621</c:v>
                </c:pt>
                <c:pt idx="234">
                  <c:v>1854496</c:v>
                </c:pt>
                <c:pt idx="235">
                  <c:v>3434680</c:v>
                </c:pt>
                <c:pt idx="236">
                  <c:v>2193567</c:v>
                </c:pt>
                <c:pt idx="237">
                  <c:v>4855019</c:v>
                </c:pt>
                <c:pt idx="238">
                  <c:v>3017244</c:v>
                </c:pt>
                <c:pt idx="239">
                  <c:v>1705258</c:v>
                </c:pt>
                <c:pt idx="240">
                  <c:v>3622908</c:v>
                </c:pt>
                <c:pt idx="241">
                  <c:v>2566892</c:v>
                </c:pt>
                <c:pt idx="242">
                  <c:v>1646526</c:v>
                </c:pt>
                <c:pt idx="243">
                  <c:v>3944280</c:v>
                </c:pt>
                <c:pt idx="244">
                  <c:v>2127546</c:v>
                </c:pt>
                <c:pt idx="245">
                  <c:v>1753132</c:v>
                </c:pt>
                <c:pt idx="246">
                  <c:v>2262879</c:v>
                </c:pt>
                <c:pt idx="247">
                  <c:v>3592555</c:v>
                </c:pt>
                <c:pt idx="248">
                  <c:v>7772763</c:v>
                </c:pt>
                <c:pt idx="249">
                  <c:v>2001513</c:v>
                </c:pt>
                <c:pt idx="250">
                  <c:v>835702</c:v>
                </c:pt>
                <c:pt idx="251">
                  <c:v>1116586</c:v>
                </c:pt>
                <c:pt idx="252">
                  <c:v>1342113</c:v>
                </c:pt>
                <c:pt idx="253">
                  <c:v>1376432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47-D246-BB79-52927E13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053071"/>
        <c:axId val="674216223"/>
      </c:lineChart>
      <c:lineChart>
        <c:grouping val="standard"/>
        <c:varyColors val="0"/>
        <c:ser>
          <c:idx val="0"/>
          <c:order val="0"/>
          <c:tx>
            <c:strRef>
              <c:f>'closing price vs volume'!$F$1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55"/>
              <c:layout>
                <c:manualLayout>
                  <c:x val="0"/>
                  <c:y val="7.4721316869299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A6-294C-853E-EAC428EE2675}"/>
                </c:ext>
              </c:extLst>
            </c:dLbl>
            <c:dLbl>
              <c:idx val="203"/>
              <c:layout>
                <c:manualLayout>
                  <c:x val="-1.7763040204474875E-3"/>
                  <c:y val="9.196469768529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9A6-294C-853E-EAC428EE2675}"/>
                </c:ext>
              </c:extLst>
            </c:dLbl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'closing price vs volume'!$B$2:$B$255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'closing price vs volume'!$F$2:$F$255</c:f>
              <c:numCache>
                <c:formatCode>_("$"* #,##0.00_);_("$"* \(#,##0.00\);_("$"* "-"??_);_(@_)</c:formatCode>
                <c:ptCount val="254"/>
                <c:pt idx="0">
                  <c:v>1.74</c:v>
                </c:pt>
                <c:pt idx="1">
                  <c:v>1.69</c:v>
                </c:pt>
                <c:pt idx="2">
                  <c:v>1.625</c:v>
                </c:pt>
                <c:pt idx="3">
                  <c:v>1.625</c:v>
                </c:pt>
                <c:pt idx="4">
                  <c:v>1.63</c:v>
                </c:pt>
                <c:pt idx="5">
                  <c:v>1.605</c:v>
                </c:pt>
                <c:pt idx="6">
                  <c:v>1.59</c:v>
                </c:pt>
                <c:pt idx="7">
                  <c:v>1.615</c:v>
                </c:pt>
                <c:pt idx="8">
                  <c:v>1.62</c:v>
                </c:pt>
                <c:pt idx="9">
                  <c:v>1.64</c:v>
                </c:pt>
                <c:pt idx="10">
                  <c:v>1.65</c:v>
                </c:pt>
                <c:pt idx="11">
                  <c:v>1.62</c:v>
                </c:pt>
                <c:pt idx="12">
                  <c:v>1.59</c:v>
                </c:pt>
                <c:pt idx="13">
                  <c:v>1.605</c:v>
                </c:pt>
                <c:pt idx="14">
                  <c:v>1.605</c:v>
                </c:pt>
                <c:pt idx="15">
                  <c:v>1.53</c:v>
                </c:pt>
                <c:pt idx="16">
                  <c:v>1.585</c:v>
                </c:pt>
                <c:pt idx="17">
                  <c:v>1.5649999999999999</c:v>
                </c:pt>
                <c:pt idx="18">
                  <c:v>1.5549999999999999</c:v>
                </c:pt>
                <c:pt idx="19">
                  <c:v>1.6</c:v>
                </c:pt>
                <c:pt idx="20">
                  <c:v>1.625</c:v>
                </c:pt>
                <c:pt idx="21">
                  <c:v>1.605</c:v>
                </c:pt>
                <c:pt idx="22">
                  <c:v>1.6950000000000001</c:v>
                </c:pt>
                <c:pt idx="23">
                  <c:v>1.605</c:v>
                </c:pt>
                <c:pt idx="24">
                  <c:v>1.585</c:v>
                </c:pt>
                <c:pt idx="25">
                  <c:v>1.605</c:v>
                </c:pt>
                <c:pt idx="26">
                  <c:v>1.61</c:v>
                </c:pt>
                <c:pt idx="27">
                  <c:v>1.56</c:v>
                </c:pt>
                <c:pt idx="28">
                  <c:v>1.54</c:v>
                </c:pt>
                <c:pt idx="29">
                  <c:v>1.57</c:v>
                </c:pt>
                <c:pt idx="30">
                  <c:v>1.52</c:v>
                </c:pt>
                <c:pt idx="31">
                  <c:v>1.5049999999999999</c:v>
                </c:pt>
                <c:pt idx="32">
                  <c:v>1.5249999999999999</c:v>
                </c:pt>
                <c:pt idx="33">
                  <c:v>1.5249999999999999</c:v>
                </c:pt>
                <c:pt idx="34">
                  <c:v>1.54</c:v>
                </c:pt>
                <c:pt idx="35">
                  <c:v>1.5649999999999999</c:v>
                </c:pt>
                <c:pt idx="36">
                  <c:v>1.5549999999999999</c:v>
                </c:pt>
                <c:pt idx="37">
                  <c:v>1.56</c:v>
                </c:pt>
                <c:pt idx="38">
                  <c:v>1.61</c:v>
                </c:pt>
                <c:pt idx="39">
                  <c:v>1.57</c:v>
                </c:pt>
                <c:pt idx="40">
                  <c:v>1.575</c:v>
                </c:pt>
                <c:pt idx="41">
                  <c:v>1.53</c:v>
                </c:pt>
                <c:pt idx="42">
                  <c:v>1.58</c:v>
                </c:pt>
                <c:pt idx="43">
                  <c:v>1.7</c:v>
                </c:pt>
                <c:pt idx="44">
                  <c:v>1.825</c:v>
                </c:pt>
                <c:pt idx="45">
                  <c:v>1.855</c:v>
                </c:pt>
                <c:pt idx="46">
                  <c:v>1.917</c:v>
                </c:pt>
                <c:pt idx="47">
                  <c:v>1.86</c:v>
                </c:pt>
                <c:pt idx="48">
                  <c:v>1.87</c:v>
                </c:pt>
                <c:pt idx="49">
                  <c:v>1.895</c:v>
                </c:pt>
                <c:pt idx="50">
                  <c:v>1.89</c:v>
                </c:pt>
                <c:pt idx="51">
                  <c:v>1.895</c:v>
                </c:pt>
                <c:pt idx="52">
                  <c:v>1.92</c:v>
                </c:pt>
                <c:pt idx="53">
                  <c:v>1.865</c:v>
                </c:pt>
                <c:pt idx="54">
                  <c:v>1.885</c:v>
                </c:pt>
                <c:pt idx="55">
                  <c:v>1.88</c:v>
                </c:pt>
                <c:pt idx="56">
                  <c:v>1.92</c:v>
                </c:pt>
                <c:pt idx="57">
                  <c:v>1.8</c:v>
                </c:pt>
                <c:pt idx="58">
                  <c:v>1.8</c:v>
                </c:pt>
                <c:pt idx="59">
                  <c:v>1.76</c:v>
                </c:pt>
                <c:pt idx="60">
                  <c:v>1.8049999999999999</c:v>
                </c:pt>
                <c:pt idx="61">
                  <c:v>1.855</c:v>
                </c:pt>
                <c:pt idx="62">
                  <c:v>1.9350000000000001</c:v>
                </c:pt>
                <c:pt idx="63">
                  <c:v>1.905</c:v>
                </c:pt>
                <c:pt idx="64">
                  <c:v>1.91</c:v>
                </c:pt>
                <c:pt idx="65">
                  <c:v>1.855</c:v>
                </c:pt>
                <c:pt idx="66">
                  <c:v>1.9450000000000001</c:v>
                </c:pt>
                <c:pt idx="67">
                  <c:v>1.95</c:v>
                </c:pt>
                <c:pt idx="68">
                  <c:v>1.9450000000000001</c:v>
                </c:pt>
                <c:pt idx="69">
                  <c:v>1.915</c:v>
                </c:pt>
                <c:pt idx="70">
                  <c:v>1.9850000000000001</c:v>
                </c:pt>
                <c:pt idx="71">
                  <c:v>1.895</c:v>
                </c:pt>
                <c:pt idx="72">
                  <c:v>1.845</c:v>
                </c:pt>
                <c:pt idx="73">
                  <c:v>1.88</c:v>
                </c:pt>
                <c:pt idx="74">
                  <c:v>1.825</c:v>
                </c:pt>
                <c:pt idx="75">
                  <c:v>1.875</c:v>
                </c:pt>
                <c:pt idx="76">
                  <c:v>1.835</c:v>
                </c:pt>
                <c:pt idx="77">
                  <c:v>1.7450000000000001</c:v>
                </c:pt>
                <c:pt idx="78">
                  <c:v>1.7649999999999999</c:v>
                </c:pt>
                <c:pt idx="79">
                  <c:v>1.7549999999999999</c:v>
                </c:pt>
                <c:pt idx="80">
                  <c:v>1.77</c:v>
                </c:pt>
                <c:pt idx="81">
                  <c:v>1.76</c:v>
                </c:pt>
                <c:pt idx="82">
                  <c:v>1.68</c:v>
                </c:pt>
                <c:pt idx="83">
                  <c:v>1.7</c:v>
                </c:pt>
                <c:pt idx="84">
                  <c:v>1.7</c:v>
                </c:pt>
                <c:pt idx="85">
                  <c:v>1.71</c:v>
                </c:pt>
                <c:pt idx="86">
                  <c:v>1.79</c:v>
                </c:pt>
                <c:pt idx="87">
                  <c:v>1.7949999999999999</c:v>
                </c:pt>
                <c:pt idx="88">
                  <c:v>1.77</c:v>
                </c:pt>
                <c:pt idx="89">
                  <c:v>1.8149999999999999</c:v>
                </c:pt>
                <c:pt idx="90">
                  <c:v>1.825</c:v>
                </c:pt>
                <c:pt idx="91">
                  <c:v>1.845</c:v>
                </c:pt>
                <c:pt idx="92">
                  <c:v>1.8149999999999999</c:v>
                </c:pt>
                <c:pt idx="93">
                  <c:v>1.875</c:v>
                </c:pt>
                <c:pt idx="94">
                  <c:v>1.87</c:v>
                </c:pt>
                <c:pt idx="95">
                  <c:v>1.915</c:v>
                </c:pt>
                <c:pt idx="96">
                  <c:v>1.92</c:v>
                </c:pt>
                <c:pt idx="97">
                  <c:v>1.89</c:v>
                </c:pt>
                <c:pt idx="98">
                  <c:v>1.79</c:v>
                </c:pt>
                <c:pt idx="99">
                  <c:v>1.78</c:v>
                </c:pt>
                <c:pt idx="100">
                  <c:v>1.855</c:v>
                </c:pt>
                <c:pt idx="101">
                  <c:v>1.85</c:v>
                </c:pt>
                <c:pt idx="102">
                  <c:v>1.91</c:v>
                </c:pt>
                <c:pt idx="103">
                  <c:v>1.8</c:v>
                </c:pt>
                <c:pt idx="104">
                  <c:v>1.875</c:v>
                </c:pt>
                <c:pt idx="105">
                  <c:v>1.8149999999999999</c:v>
                </c:pt>
                <c:pt idx="106">
                  <c:v>1.82</c:v>
                </c:pt>
                <c:pt idx="107">
                  <c:v>1.83</c:v>
                </c:pt>
                <c:pt idx="108">
                  <c:v>1.92</c:v>
                </c:pt>
                <c:pt idx="109">
                  <c:v>1.99</c:v>
                </c:pt>
                <c:pt idx="110">
                  <c:v>1.8149999999999999</c:v>
                </c:pt>
                <c:pt idx="111">
                  <c:v>1.7949999999999999</c:v>
                </c:pt>
                <c:pt idx="112">
                  <c:v>1.78</c:v>
                </c:pt>
                <c:pt idx="113">
                  <c:v>1.7250000000000001</c:v>
                </c:pt>
                <c:pt idx="114">
                  <c:v>1.7649999999999999</c:v>
                </c:pt>
                <c:pt idx="115">
                  <c:v>1.7649999999999999</c:v>
                </c:pt>
                <c:pt idx="116">
                  <c:v>1.81</c:v>
                </c:pt>
                <c:pt idx="117">
                  <c:v>1.81</c:v>
                </c:pt>
                <c:pt idx="118">
                  <c:v>1.89</c:v>
                </c:pt>
                <c:pt idx="119">
                  <c:v>1.83</c:v>
                </c:pt>
                <c:pt idx="120">
                  <c:v>1.83</c:v>
                </c:pt>
                <c:pt idx="121">
                  <c:v>1.75</c:v>
                </c:pt>
                <c:pt idx="122">
                  <c:v>1.73</c:v>
                </c:pt>
                <c:pt idx="123">
                  <c:v>1.7549999999999999</c:v>
                </c:pt>
                <c:pt idx="124">
                  <c:v>1.7649999999999999</c:v>
                </c:pt>
                <c:pt idx="125">
                  <c:v>1.76</c:v>
                </c:pt>
                <c:pt idx="126">
                  <c:v>1.7949999999999999</c:v>
                </c:pt>
                <c:pt idx="127">
                  <c:v>1.865</c:v>
                </c:pt>
                <c:pt idx="128">
                  <c:v>1.895</c:v>
                </c:pt>
                <c:pt idx="129">
                  <c:v>1.88</c:v>
                </c:pt>
                <c:pt idx="130">
                  <c:v>1.895</c:v>
                </c:pt>
                <c:pt idx="131">
                  <c:v>1.88</c:v>
                </c:pt>
                <c:pt idx="132">
                  <c:v>1.9550000000000001</c:v>
                </c:pt>
                <c:pt idx="133">
                  <c:v>2.0699999999999998</c:v>
                </c:pt>
                <c:pt idx="134">
                  <c:v>2.12</c:v>
                </c:pt>
                <c:pt idx="135">
                  <c:v>2.15</c:v>
                </c:pt>
                <c:pt idx="136">
                  <c:v>2.16</c:v>
                </c:pt>
                <c:pt idx="137">
                  <c:v>2.15</c:v>
                </c:pt>
                <c:pt idx="138">
                  <c:v>2.15</c:v>
                </c:pt>
                <c:pt idx="139">
                  <c:v>2.17</c:v>
                </c:pt>
                <c:pt idx="140">
                  <c:v>2.12</c:v>
                </c:pt>
                <c:pt idx="141">
                  <c:v>2.17</c:v>
                </c:pt>
                <c:pt idx="142">
                  <c:v>2.12</c:v>
                </c:pt>
                <c:pt idx="143">
                  <c:v>2.0699999999999998</c:v>
                </c:pt>
                <c:pt idx="144">
                  <c:v>2.06</c:v>
                </c:pt>
                <c:pt idx="145">
                  <c:v>2.02</c:v>
                </c:pt>
                <c:pt idx="146">
                  <c:v>2.09</c:v>
                </c:pt>
                <c:pt idx="147">
                  <c:v>2.11</c:v>
                </c:pt>
                <c:pt idx="148">
                  <c:v>2.12</c:v>
                </c:pt>
                <c:pt idx="149">
                  <c:v>2.08</c:v>
                </c:pt>
                <c:pt idx="150">
                  <c:v>2.02</c:v>
                </c:pt>
                <c:pt idx="151">
                  <c:v>2.0299999999999998</c:v>
                </c:pt>
                <c:pt idx="152">
                  <c:v>1.9850000000000001</c:v>
                </c:pt>
                <c:pt idx="153">
                  <c:v>2.06</c:v>
                </c:pt>
                <c:pt idx="154">
                  <c:v>2.04</c:v>
                </c:pt>
                <c:pt idx="155">
                  <c:v>2.21</c:v>
                </c:pt>
                <c:pt idx="156">
                  <c:v>2.2000000000000002</c:v>
                </c:pt>
                <c:pt idx="157">
                  <c:v>2.1800000000000002</c:v>
                </c:pt>
                <c:pt idx="158">
                  <c:v>2.2000000000000002</c:v>
                </c:pt>
                <c:pt idx="159">
                  <c:v>2.17</c:v>
                </c:pt>
                <c:pt idx="160">
                  <c:v>2.1800000000000002</c:v>
                </c:pt>
                <c:pt idx="161">
                  <c:v>2.21</c:v>
                </c:pt>
                <c:pt idx="162">
                  <c:v>2.2200000000000002</c:v>
                </c:pt>
                <c:pt idx="163">
                  <c:v>2.2000000000000002</c:v>
                </c:pt>
                <c:pt idx="164">
                  <c:v>2.2000000000000002</c:v>
                </c:pt>
                <c:pt idx="165">
                  <c:v>2.19</c:v>
                </c:pt>
                <c:pt idx="166">
                  <c:v>2.19</c:v>
                </c:pt>
                <c:pt idx="167">
                  <c:v>2.14</c:v>
                </c:pt>
                <c:pt idx="168">
                  <c:v>2.27</c:v>
                </c:pt>
                <c:pt idx="169">
                  <c:v>2.2000000000000002</c:v>
                </c:pt>
                <c:pt idx="170">
                  <c:v>2.19</c:v>
                </c:pt>
                <c:pt idx="171">
                  <c:v>2.0699999999999998</c:v>
                </c:pt>
                <c:pt idx="172">
                  <c:v>2.14</c:v>
                </c:pt>
                <c:pt idx="173">
                  <c:v>2.1800000000000002</c:v>
                </c:pt>
                <c:pt idx="174">
                  <c:v>2.0699999999999998</c:v>
                </c:pt>
                <c:pt idx="175">
                  <c:v>2.11</c:v>
                </c:pt>
                <c:pt idx="176">
                  <c:v>2.11</c:v>
                </c:pt>
                <c:pt idx="177">
                  <c:v>2.15</c:v>
                </c:pt>
                <c:pt idx="178">
                  <c:v>2.2000000000000002</c:v>
                </c:pt>
                <c:pt idx="179">
                  <c:v>2.17</c:v>
                </c:pt>
                <c:pt idx="180">
                  <c:v>2.11</c:v>
                </c:pt>
                <c:pt idx="181">
                  <c:v>2.1</c:v>
                </c:pt>
                <c:pt idx="182">
                  <c:v>2.12</c:v>
                </c:pt>
                <c:pt idx="183">
                  <c:v>2.11</c:v>
                </c:pt>
                <c:pt idx="184">
                  <c:v>2.11</c:v>
                </c:pt>
                <c:pt idx="185">
                  <c:v>2.0699999999999998</c:v>
                </c:pt>
                <c:pt idx="186">
                  <c:v>2.1</c:v>
                </c:pt>
                <c:pt idx="187">
                  <c:v>2.15</c:v>
                </c:pt>
                <c:pt idx="188">
                  <c:v>2.15</c:v>
                </c:pt>
                <c:pt idx="189">
                  <c:v>2.06</c:v>
                </c:pt>
                <c:pt idx="190">
                  <c:v>2.04</c:v>
                </c:pt>
                <c:pt idx="191">
                  <c:v>2.09</c:v>
                </c:pt>
                <c:pt idx="192">
                  <c:v>2.02</c:v>
                </c:pt>
                <c:pt idx="193">
                  <c:v>2.04</c:v>
                </c:pt>
                <c:pt idx="194">
                  <c:v>2.02</c:v>
                </c:pt>
                <c:pt idx="195">
                  <c:v>2.0099999999999998</c:v>
                </c:pt>
                <c:pt idx="196">
                  <c:v>1.9950000000000001</c:v>
                </c:pt>
                <c:pt idx="197">
                  <c:v>2.0299999999999998</c:v>
                </c:pt>
                <c:pt idx="198">
                  <c:v>2.0699999999999998</c:v>
                </c:pt>
                <c:pt idx="199">
                  <c:v>2.0499999999999998</c:v>
                </c:pt>
                <c:pt idx="200">
                  <c:v>2.08</c:v>
                </c:pt>
                <c:pt idx="201">
                  <c:v>2.19</c:v>
                </c:pt>
                <c:pt idx="202">
                  <c:v>2.3199999999999998</c:v>
                </c:pt>
                <c:pt idx="203">
                  <c:v>2.2999999999999998</c:v>
                </c:pt>
                <c:pt idx="204">
                  <c:v>2.4700000000000002</c:v>
                </c:pt>
                <c:pt idx="205">
                  <c:v>2.4900000000000002</c:v>
                </c:pt>
                <c:pt idx="206">
                  <c:v>2.56</c:v>
                </c:pt>
                <c:pt idx="207">
                  <c:v>2.4900000000000002</c:v>
                </c:pt>
                <c:pt idx="208">
                  <c:v>2.5299999999999998</c:v>
                </c:pt>
                <c:pt idx="209">
                  <c:v>2.44</c:v>
                </c:pt>
                <c:pt idx="210">
                  <c:v>2.4700000000000002</c:v>
                </c:pt>
                <c:pt idx="211">
                  <c:v>2.44</c:v>
                </c:pt>
                <c:pt idx="212">
                  <c:v>2.4500000000000002</c:v>
                </c:pt>
                <c:pt idx="213">
                  <c:v>2.34</c:v>
                </c:pt>
                <c:pt idx="214">
                  <c:v>2.3199999999999998</c:v>
                </c:pt>
                <c:pt idx="215">
                  <c:v>2.2599999999999998</c:v>
                </c:pt>
                <c:pt idx="216">
                  <c:v>2.23</c:v>
                </c:pt>
                <c:pt idx="217">
                  <c:v>2.14</c:v>
                </c:pt>
                <c:pt idx="218">
                  <c:v>2.2400000000000002</c:v>
                </c:pt>
                <c:pt idx="219">
                  <c:v>2.33</c:v>
                </c:pt>
                <c:pt idx="220">
                  <c:v>2.2999999999999998</c:v>
                </c:pt>
                <c:pt idx="221">
                  <c:v>2.2999999999999998</c:v>
                </c:pt>
                <c:pt idx="222">
                  <c:v>2.23</c:v>
                </c:pt>
                <c:pt idx="223">
                  <c:v>2.27</c:v>
                </c:pt>
                <c:pt idx="224">
                  <c:v>2.31</c:v>
                </c:pt>
                <c:pt idx="225">
                  <c:v>2.42</c:v>
                </c:pt>
                <c:pt idx="226">
                  <c:v>2.4700000000000002</c:v>
                </c:pt>
                <c:pt idx="227">
                  <c:v>2.48</c:v>
                </c:pt>
                <c:pt idx="228">
                  <c:v>2.5</c:v>
                </c:pt>
                <c:pt idx="229">
                  <c:v>2.48</c:v>
                </c:pt>
                <c:pt idx="230">
                  <c:v>2.4300000000000002</c:v>
                </c:pt>
                <c:pt idx="231">
                  <c:v>2.52</c:v>
                </c:pt>
                <c:pt idx="232">
                  <c:v>2.52</c:v>
                </c:pt>
                <c:pt idx="233">
                  <c:v>2.5299999999999998</c:v>
                </c:pt>
                <c:pt idx="234">
                  <c:v>2.4900000000000002</c:v>
                </c:pt>
                <c:pt idx="235">
                  <c:v>2.4300000000000002</c:v>
                </c:pt>
                <c:pt idx="236">
                  <c:v>2.41</c:v>
                </c:pt>
                <c:pt idx="237">
                  <c:v>2.63</c:v>
                </c:pt>
                <c:pt idx="238">
                  <c:v>2.62</c:v>
                </c:pt>
                <c:pt idx="239">
                  <c:v>2.67</c:v>
                </c:pt>
                <c:pt idx="240">
                  <c:v>2.74</c:v>
                </c:pt>
                <c:pt idx="241">
                  <c:v>2.77</c:v>
                </c:pt>
                <c:pt idx="242">
                  <c:v>2.74</c:v>
                </c:pt>
                <c:pt idx="243">
                  <c:v>2.71</c:v>
                </c:pt>
                <c:pt idx="244">
                  <c:v>2.61</c:v>
                </c:pt>
                <c:pt idx="245">
                  <c:v>2.63</c:v>
                </c:pt>
                <c:pt idx="246">
                  <c:v>2.59</c:v>
                </c:pt>
                <c:pt idx="247">
                  <c:v>2.54</c:v>
                </c:pt>
                <c:pt idx="248">
                  <c:v>2.5</c:v>
                </c:pt>
                <c:pt idx="249">
                  <c:v>2.54</c:v>
                </c:pt>
                <c:pt idx="250">
                  <c:v>2.5299999999999998</c:v>
                </c:pt>
                <c:pt idx="251">
                  <c:v>2.5499999999999998</c:v>
                </c:pt>
                <c:pt idx="252">
                  <c:v>2.52</c:v>
                </c:pt>
                <c:pt idx="25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47-D246-BB79-52927E137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0184368"/>
        <c:axId val="731826528"/>
      </c:lineChart>
      <c:catAx>
        <c:axId val="67405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216223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674216223"/>
        <c:scaling>
          <c:orientation val="minMax"/>
          <c:max val="10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053071"/>
        <c:crosses val="autoZero"/>
        <c:crossBetween val="between"/>
      </c:valAx>
      <c:valAx>
        <c:axId val="731826528"/>
        <c:scaling>
          <c:orientation val="minMax"/>
        </c:scaling>
        <c:delete val="0"/>
        <c:axPos val="r"/>
        <c:numFmt formatCode="&quot;$&quot;#,##0.00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0184368"/>
        <c:crosses val="max"/>
        <c:crossBetween val="between"/>
      </c:valAx>
      <c:catAx>
        <c:axId val="7201843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318265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tx>
            <c:strRef>
              <c:f>'stock price'!$B$1</c:f>
              <c:strCache>
                <c:ptCount val="1"/>
                <c:pt idx="0">
                  <c:v> Open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price'!$B$2:$B$255</c:f>
              <c:numCache>
                <c:formatCode>_("$"* #,##0.00_);_("$"* \(#,##0.00\);_("$"* "-"??_);_(@_)</c:formatCode>
                <c:ptCount val="254"/>
                <c:pt idx="0">
                  <c:v>1.7749999999999999</c:v>
                </c:pt>
                <c:pt idx="1">
                  <c:v>1.7050000000000001</c:v>
                </c:pt>
                <c:pt idx="2">
                  <c:v>1.66</c:v>
                </c:pt>
                <c:pt idx="3">
                  <c:v>1.645</c:v>
                </c:pt>
                <c:pt idx="4">
                  <c:v>1.615</c:v>
                </c:pt>
                <c:pt idx="5">
                  <c:v>1.64</c:v>
                </c:pt>
                <c:pt idx="6">
                  <c:v>1.6</c:v>
                </c:pt>
                <c:pt idx="7">
                  <c:v>1.585</c:v>
                </c:pt>
                <c:pt idx="8">
                  <c:v>1.6</c:v>
                </c:pt>
                <c:pt idx="9">
                  <c:v>1.635</c:v>
                </c:pt>
                <c:pt idx="10">
                  <c:v>1.63</c:v>
                </c:pt>
                <c:pt idx="11">
                  <c:v>1.6</c:v>
                </c:pt>
                <c:pt idx="12">
                  <c:v>1.58</c:v>
                </c:pt>
                <c:pt idx="13">
                  <c:v>1.62</c:v>
                </c:pt>
                <c:pt idx="14">
                  <c:v>1.61</c:v>
                </c:pt>
                <c:pt idx="15">
                  <c:v>1.61</c:v>
                </c:pt>
                <c:pt idx="16">
                  <c:v>1.54</c:v>
                </c:pt>
                <c:pt idx="17">
                  <c:v>1.585</c:v>
                </c:pt>
                <c:pt idx="18">
                  <c:v>1.5449999999999999</c:v>
                </c:pt>
                <c:pt idx="19">
                  <c:v>1.5649999999999999</c:v>
                </c:pt>
                <c:pt idx="20">
                  <c:v>1.59</c:v>
                </c:pt>
                <c:pt idx="21">
                  <c:v>1.6</c:v>
                </c:pt>
                <c:pt idx="22">
                  <c:v>1.66</c:v>
                </c:pt>
                <c:pt idx="23">
                  <c:v>1.645</c:v>
                </c:pt>
                <c:pt idx="24">
                  <c:v>1.6</c:v>
                </c:pt>
                <c:pt idx="25">
                  <c:v>1.6</c:v>
                </c:pt>
                <c:pt idx="26">
                  <c:v>1.605</c:v>
                </c:pt>
                <c:pt idx="27">
                  <c:v>1.6</c:v>
                </c:pt>
                <c:pt idx="28">
                  <c:v>1.585</c:v>
                </c:pt>
                <c:pt idx="29">
                  <c:v>1.5649999999999999</c:v>
                </c:pt>
                <c:pt idx="30">
                  <c:v>1.51</c:v>
                </c:pt>
                <c:pt idx="31">
                  <c:v>1.5149999999999999</c:v>
                </c:pt>
                <c:pt idx="32">
                  <c:v>1.55</c:v>
                </c:pt>
                <c:pt idx="33">
                  <c:v>1.5249999999999999</c:v>
                </c:pt>
                <c:pt idx="34">
                  <c:v>1.53</c:v>
                </c:pt>
                <c:pt idx="35">
                  <c:v>1.5549999999999999</c:v>
                </c:pt>
                <c:pt idx="36">
                  <c:v>1.55</c:v>
                </c:pt>
                <c:pt idx="37">
                  <c:v>1.54</c:v>
                </c:pt>
                <c:pt idx="38">
                  <c:v>1.59</c:v>
                </c:pt>
                <c:pt idx="39">
                  <c:v>1.59</c:v>
                </c:pt>
                <c:pt idx="40">
                  <c:v>1.59</c:v>
                </c:pt>
                <c:pt idx="41">
                  <c:v>1.57</c:v>
                </c:pt>
                <c:pt idx="42">
                  <c:v>1.5449999999999999</c:v>
                </c:pt>
                <c:pt idx="43">
                  <c:v>1.625</c:v>
                </c:pt>
                <c:pt idx="44">
                  <c:v>1.7450000000000001</c:v>
                </c:pt>
                <c:pt idx="45">
                  <c:v>1.82</c:v>
                </c:pt>
                <c:pt idx="46">
                  <c:v>1.875</c:v>
                </c:pt>
                <c:pt idx="47">
                  <c:v>1.915</c:v>
                </c:pt>
                <c:pt idx="48">
                  <c:v>1.88</c:v>
                </c:pt>
                <c:pt idx="49">
                  <c:v>1.885</c:v>
                </c:pt>
                <c:pt idx="50">
                  <c:v>1.89</c:v>
                </c:pt>
                <c:pt idx="51">
                  <c:v>1.915</c:v>
                </c:pt>
                <c:pt idx="52">
                  <c:v>1.89</c:v>
                </c:pt>
                <c:pt idx="53">
                  <c:v>1.91</c:v>
                </c:pt>
                <c:pt idx="54">
                  <c:v>1.895</c:v>
                </c:pt>
                <c:pt idx="55">
                  <c:v>1.885</c:v>
                </c:pt>
                <c:pt idx="56">
                  <c:v>1.94</c:v>
                </c:pt>
                <c:pt idx="57">
                  <c:v>1.82</c:v>
                </c:pt>
                <c:pt idx="58">
                  <c:v>1.81</c:v>
                </c:pt>
                <c:pt idx="59">
                  <c:v>1.845</c:v>
                </c:pt>
                <c:pt idx="60">
                  <c:v>1.77</c:v>
                </c:pt>
                <c:pt idx="61">
                  <c:v>1.83</c:v>
                </c:pt>
                <c:pt idx="62">
                  <c:v>1.9</c:v>
                </c:pt>
                <c:pt idx="63">
                  <c:v>1.95</c:v>
                </c:pt>
                <c:pt idx="64">
                  <c:v>1.9350000000000001</c:v>
                </c:pt>
                <c:pt idx="65">
                  <c:v>1.89</c:v>
                </c:pt>
                <c:pt idx="66">
                  <c:v>1.9</c:v>
                </c:pt>
                <c:pt idx="67">
                  <c:v>1.97</c:v>
                </c:pt>
                <c:pt idx="68">
                  <c:v>1.9350000000000001</c:v>
                </c:pt>
                <c:pt idx="69">
                  <c:v>1.89</c:v>
                </c:pt>
                <c:pt idx="70">
                  <c:v>1.9450000000000001</c:v>
                </c:pt>
                <c:pt idx="71">
                  <c:v>1.9350000000000001</c:v>
                </c:pt>
                <c:pt idx="72">
                  <c:v>1.87</c:v>
                </c:pt>
                <c:pt idx="73">
                  <c:v>1.855</c:v>
                </c:pt>
                <c:pt idx="74">
                  <c:v>1.87</c:v>
                </c:pt>
                <c:pt idx="75">
                  <c:v>1.81</c:v>
                </c:pt>
                <c:pt idx="76">
                  <c:v>1.895</c:v>
                </c:pt>
                <c:pt idx="77">
                  <c:v>1.77</c:v>
                </c:pt>
                <c:pt idx="78">
                  <c:v>1.77</c:v>
                </c:pt>
                <c:pt idx="79">
                  <c:v>1.77</c:v>
                </c:pt>
                <c:pt idx="80">
                  <c:v>1.7649999999999999</c:v>
                </c:pt>
                <c:pt idx="81">
                  <c:v>1.81</c:v>
                </c:pt>
                <c:pt idx="82">
                  <c:v>1.6950000000000001</c:v>
                </c:pt>
                <c:pt idx="83">
                  <c:v>1.7</c:v>
                </c:pt>
                <c:pt idx="84">
                  <c:v>1.7050000000000001</c:v>
                </c:pt>
                <c:pt idx="85">
                  <c:v>1.7</c:v>
                </c:pt>
                <c:pt idx="86">
                  <c:v>1.7450000000000001</c:v>
                </c:pt>
                <c:pt idx="87">
                  <c:v>1.7949999999999999</c:v>
                </c:pt>
                <c:pt idx="88">
                  <c:v>1.7849999999999999</c:v>
                </c:pt>
                <c:pt idx="89">
                  <c:v>1.82</c:v>
                </c:pt>
                <c:pt idx="90">
                  <c:v>1.82</c:v>
                </c:pt>
                <c:pt idx="91">
                  <c:v>1.82</c:v>
                </c:pt>
                <c:pt idx="92">
                  <c:v>1.87</c:v>
                </c:pt>
                <c:pt idx="93">
                  <c:v>1.85</c:v>
                </c:pt>
                <c:pt idx="94">
                  <c:v>1.855</c:v>
                </c:pt>
                <c:pt idx="95">
                  <c:v>1.9</c:v>
                </c:pt>
                <c:pt idx="96">
                  <c:v>1.915</c:v>
                </c:pt>
                <c:pt idx="97">
                  <c:v>1.92</c:v>
                </c:pt>
                <c:pt idx="98">
                  <c:v>1.845</c:v>
                </c:pt>
                <c:pt idx="99">
                  <c:v>1.77</c:v>
                </c:pt>
                <c:pt idx="100">
                  <c:v>1.8</c:v>
                </c:pt>
                <c:pt idx="101">
                  <c:v>1.88</c:v>
                </c:pt>
                <c:pt idx="102">
                  <c:v>1.84</c:v>
                </c:pt>
                <c:pt idx="103">
                  <c:v>1.9</c:v>
                </c:pt>
                <c:pt idx="104">
                  <c:v>1.82</c:v>
                </c:pt>
                <c:pt idx="105">
                  <c:v>1.85</c:v>
                </c:pt>
                <c:pt idx="106">
                  <c:v>1.84</c:v>
                </c:pt>
                <c:pt idx="107">
                  <c:v>1.825</c:v>
                </c:pt>
                <c:pt idx="108">
                  <c:v>1.885</c:v>
                </c:pt>
                <c:pt idx="109">
                  <c:v>1.9650000000000001</c:v>
                </c:pt>
                <c:pt idx="110">
                  <c:v>1.87</c:v>
                </c:pt>
                <c:pt idx="111">
                  <c:v>1.85</c:v>
                </c:pt>
                <c:pt idx="112">
                  <c:v>1.825</c:v>
                </c:pt>
                <c:pt idx="113">
                  <c:v>1.7649999999999999</c:v>
                </c:pt>
                <c:pt idx="114">
                  <c:v>1.74</c:v>
                </c:pt>
                <c:pt idx="115">
                  <c:v>1.78</c:v>
                </c:pt>
                <c:pt idx="116">
                  <c:v>1.8049999999999999</c:v>
                </c:pt>
                <c:pt idx="117">
                  <c:v>1.81</c:v>
                </c:pt>
                <c:pt idx="118">
                  <c:v>1.875</c:v>
                </c:pt>
                <c:pt idx="119">
                  <c:v>1.845</c:v>
                </c:pt>
                <c:pt idx="120">
                  <c:v>1.855</c:v>
                </c:pt>
                <c:pt idx="121">
                  <c:v>1.8049999999999999</c:v>
                </c:pt>
                <c:pt idx="122">
                  <c:v>1.7250000000000001</c:v>
                </c:pt>
                <c:pt idx="123">
                  <c:v>1.74</c:v>
                </c:pt>
                <c:pt idx="124">
                  <c:v>1.74</c:v>
                </c:pt>
                <c:pt idx="125">
                  <c:v>1.7549999999999999</c:v>
                </c:pt>
                <c:pt idx="126">
                  <c:v>1.77</c:v>
                </c:pt>
                <c:pt idx="127">
                  <c:v>1.84</c:v>
                </c:pt>
                <c:pt idx="128">
                  <c:v>1.865</c:v>
                </c:pt>
                <c:pt idx="129">
                  <c:v>1.925</c:v>
                </c:pt>
                <c:pt idx="130">
                  <c:v>1.87</c:v>
                </c:pt>
                <c:pt idx="131">
                  <c:v>1.885</c:v>
                </c:pt>
                <c:pt idx="132">
                  <c:v>1.91</c:v>
                </c:pt>
                <c:pt idx="133">
                  <c:v>1.99</c:v>
                </c:pt>
                <c:pt idx="134">
                  <c:v>2.09</c:v>
                </c:pt>
                <c:pt idx="135">
                  <c:v>2.15</c:v>
                </c:pt>
                <c:pt idx="136">
                  <c:v>2.19</c:v>
                </c:pt>
                <c:pt idx="137">
                  <c:v>2.14</c:v>
                </c:pt>
                <c:pt idx="138">
                  <c:v>2.09</c:v>
                </c:pt>
                <c:pt idx="139">
                  <c:v>2.15</c:v>
                </c:pt>
                <c:pt idx="140">
                  <c:v>2.19</c:v>
                </c:pt>
                <c:pt idx="141">
                  <c:v>2.13</c:v>
                </c:pt>
                <c:pt idx="142">
                  <c:v>2.11</c:v>
                </c:pt>
                <c:pt idx="143">
                  <c:v>2.12</c:v>
                </c:pt>
                <c:pt idx="144">
                  <c:v>2.11</c:v>
                </c:pt>
                <c:pt idx="145">
                  <c:v>2.0299999999999998</c:v>
                </c:pt>
                <c:pt idx="146">
                  <c:v>2.06</c:v>
                </c:pt>
                <c:pt idx="147">
                  <c:v>2.12</c:v>
                </c:pt>
                <c:pt idx="148">
                  <c:v>2.0499999999999998</c:v>
                </c:pt>
                <c:pt idx="149">
                  <c:v>2.0699999999999998</c:v>
                </c:pt>
                <c:pt idx="150">
                  <c:v>2.0299999999999998</c:v>
                </c:pt>
                <c:pt idx="151">
                  <c:v>2.02</c:v>
                </c:pt>
                <c:pt idx="152">
                  <c:v>2.0099999999999998</c:v>
                </c:pt>
                <c:pt idx="153">
                  <c:v>2.06</c:v>
                </c:pt>
                <c:pt idx="154">
                  <c:v>2.08</c:v>
                </c:pt>
                <c:pt idx="155">
                  <c:v>2.11</c:v>
                </c:pt>
                <c:pt idx="156">
                  <c:v>2.23</c:v>
                </c:pt>
                <c:pt idx="157">
                  <c:v>2.2000000000000002</c:v>
                </c:pt>
                <c:pt idx="158">
                  <c:v>2.23</c:v>
                </c:pt>
                <c:pt idx="159">
                  <c:v>2.2400000000000002</c:v>
                </c:pt>
                <c:pt idx="160">
                  <c:v>2.21</c:v>
                </c:pt>
                <c:pt idx="161">
                  <c:v>2.19</c:v>
                </c:pt>
                <c:pt idx="162">
                  <c:v>2.23</c:v>
                </c:pt>
                <c:pt idx="163">
                  <c:v>2.21</c:v>
                </c:pt>
                <c:pt idx="164">
                  <c:v>2.2400000000000002</c:v>
                </c:pt>
                <c:pt idx="165">
                  <c:v>2.19</c:v>
                </c:pt>
                <c:pt idx="166">
                  <c:v>2.2000000000000002</c:v>
                </c:pt>
                <c:pt idx="167">
                  <c:v>2.15</c:v>
                </c:pt>
                <c:pt idx="168">
                  <c:v>2.16</c:v>
                </c:pt>
                <c:pt idx="169">
                  <c:v>2.21</c:v>
                </c:pt>
                <c:pt idx="170">
                  <c:v>2.2000000000000002</c:v>
                </c:pt>
                <c:pt idx="171">
                  <c:v>2.13</c:v>
                </c:pt>
                <c:pt idx="172">
                  <c:v>2.09</c:v>
                </c:pt>
                <c:pt idx="173">
                  <c:v>2.15</c:v>
                </c:pt>
                <c:pt idx="174">
                  <c:v>2.14</c:v>
                </c:pt>
                <c:pt idx="175">
                  <c:v>2.09</c:v>
                </c:pt>
                <c:pt idx="176">
                  <c:v>2.14</c:v>
                </c:pt>
                <c:pt idx="177">
                  <c:v>2.14</c:v>
                </c:pt>
                <c:pt idx="178">
                  <c:v>2.23</c:v>
                </c:pt>
                <c:pt idx="179">
                  <c:v>2.21</c:v>
                </c:pt>
                <c:pt idx="180">
                  <c:v>2.19</c:v>
                </c:pt>
                <c:pt idx="181">
                  <c:v>2.08</c:v>
                </c:pt>
                <c:pt idx="182">
                  <c:v>2.1</c:v>
                </c:pt>
                <c:pt idx="183">
                  <c:v>2.14</c:v>
                </c:pt>
                <c:pt idx="184">
                  <c:v>2.11</c:v>
                </c:pt>
                <c:pt idx="185">
                  <c:v>2.0699999999999998</c:v>
                </c:pt>
                <c:pt idx="186">
                  <c:v>2.14</c:v>
                </c:pt>
                <c:pt idx="187">
                  <c:v>2.13</c:v>
                </c:pt>
                <c:pt idx="188">
                  <c:v>2.11</c:v>
                </c:pt>
                <c:pt idx="189">
                  <c:v>2.14</c:v>
                </c:pt>
                <c:pt idx="190">
                  <c:v>2.04</c:v>
                </c:pt>
                <c:pt idx="191">
                  <c:v>2.08</c:v>
                </c:pt>
                <c:pt idx="192">
                  <c:v>2.08</c:v>
                </c:pt>
                <c:pt idx="193">
                  <c:v>2.02</c:v>
                </c:pt>
                <c:pt idx="194">
                  <c:v>2.04</c:v>
                </c:pt>
                <c:pt idx="195">
                  <c:v>1.9950000000000001</c:v>
                </c:pt>
                <c:pt idx="196">
                  <c:v>1.98</c:v>
                </c:pt>
                <c:pt idx="197">
                  <c:v>2.02</c:v>
                </c:pt>
                <c:pt idx="198">
                  <c:v>2.0499999999999998</c:v>
                </c:pt>
                <c:pt idx="199">
                  <c:v>2.09</c:v>
                </c:pt>
                <c:pt idx="200">
                  <c:v>2.08</c:v>
                </c:pt>
                <c:pt idx="201">
                  <c:v>2.12</c:v>
                </c:pt>
                <c:pt idx="202">
                  <c:v>2.2400000000000002</c:v>
                </c:pt>
                <c:pt idx="203">
                  <c:v>2.2999999999999998</c:v>
                </c:pt>
                <c:pt idx="204">
                  <c:v>2.4</c:v>
                </c:pt>
                <c:pt idx="205">
                  <c:v>2.4300000000000002</c:v>
                </c:pt>
                <c:pt idx="206">
                  <c:v>2.4700000000000002</c:v>
                </c:pt>
                <c:pt idx="207">
                  <c:v>2.4900000000000002</c:v>
                </c:pt>
                <c:pt idx="208">
                  <c:v>2.4700000000000002</c:v>
                </c:pt>
                <c:pt idx="209">
                  <c:v>2.5</c:v>
                </c:pt>
                <c:pt idx="210">
                  <c:v>2.46</c:v>
                </c:pt>
                <c:pt idx="211">
                  <c:v>2.5</c:v>
                </c:pt>
                <c:pt idx="212">
                  <c:v>2.4</c:v>
                </c:pt>
                <c:pt idx="213">
                  <c:v>2.4</c:v>
                </c:pt>
                <c:pt idx="214">
                  <c:v>2.34</c:v>
                </c:pt>
                <c:pt idx="215">
                  <c:v>2.2999999999999998</c:v>
                </c:pt>
                <c:pt idx="216">
                  <c:v>2.2599999999999998</c:v>
                </c:pt>
                <c:pt idx="217">
                  <c:v>2.17</c:v>
                </c:pt>
                <c:pt idx="218">
                  <c:v>2.19</c:v>
                </c:pt>
                <c:pt idx="219">
                  <c:v>2.23</c:v>
                </c:pt>
                <c:pt idx="220">
                  <c:v>2.2400000000000002</c:v>
                </c:pt>
                <c:pt idx="221">
                  <c:v>2.2799999999999998</c:v>
                </c:pt>
                <c:pt idx="222">
                  <c:v>2.2799999999999998</c:v>
                </c:pt>
                <c:pt idx="223">
                  <c:v>2.2999999999999998</c:v>
                </c:pt>
                <c:pt idx="224">
                  <c:v>2.27</c:v>
                </c:pt>
                <c:pt idx="225">
                  <c:v>2.34</c:v>
                </c:pt>
                <c:pt idx="226">
                  <c:v>2.46</c:v>
                </c:pt>
                <c:pt idx="227">
                  <c:v>2.5</c:v>
                </c:pt>
                <c:pt idx="228">
                  <c:v>2.5</c:v>
                </c:pt>
                <c:pt idx="229">
                  <c:v>2.5299999999999998</c:v>
                </c:pt>
                <c:pt idx="230">
                  <c:v>2.44</c:v>
                </c:pt>
                <c:pt idx="231">
                  <c:v>2.5099999999999998</c:v>
                </c:pt>
                <c:pt idx="232">
                  <c:v>2.54</c:v>
                </c:pt>
                <c:pt idx="233">
                  <c:v>2.52</c:v>
                </c:pt>
                <c:pt idx="234">
                  <c:v>2.5299999999999998</c:v>
                </c:pt>
                <c:pt idx="235">
                  <c:v>2.4900000000000002</c:v>
                </c:pt>
                <c:pt idx="236">
                  <c:v>2.44</c:v>
                </c:pt>
                <c:pt idx="237">
                  <c:v>2.4900000000000002</c:v>
                </c:pt>
                <c:pt idx="238">
                  <c:v>2.61</c:v>
                </c:pt>
                <c:pt idx="239">
                  <c:v>2.59</c:v>
                </c:pt>
                <c:pt idx="240">
                  <c:v>2.75</c:v>
                </c:pt>
                <c:pt idx="241">
                  <c:v>2.76</c:v>
                </c:pt>
                <c:pt idx="242">
                  <c:v>2.85</c:v>
                </c:pt>
                <c:pt idx="243">
                  <c:v>2.73</c:v>
                </c:pt>
                <c:pt idx="244">
                  <c:v>2.66</c:v>
                </c:pt>
                <c:pt idx="245">
                  <c:v>2.58</c:v>
                </c:pt>
                <c:pt idx="246">
                  <c:v>2.64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2.54</c:v>
                </c:pt>
                <c:pt idx="251">
                  <c:v>2.5299999999999998</c:v>
                </c:pt>
                <c:pt idx="252">
                  <c:v>2.52</c:v>
                </c:pt>
                <c:pt idx="25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6C-9246-9913-55772E5D5211}"/>
            </c:ext>
          </c:extLst>
        </c:ser>
        <c:ser>
          <c:idx val="1"/>
          <c:order val="1"/>
          <c:tx>
            <c:strRef>
              <c:f>'stock price'!$C$1</c:f>
              <c:strCache>
                <c:ptCount val="1"/>
                <c:pt idx="0">
                  <c:v> High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price'!$C$2:$C$255</c:f>
              <c:numCache>
                <c:formatCode>_("$"* #,##0.00_);_("$"* \(#,##0.00\);_("$"* "-"??_);_(@_)</c:formatCode>
                <c:ptCount val="254"/>
                <c:pt idx="0">
                  <c:v>1.778</c:v>
                </c:pt>
                <c:pt idx="1">
                  <c:v>1.72</c:v>
                </c:pt>
                <c:pt idx="2">
                  <c:v>1.677</c:v>
                </c:pt>
                <c:pt idx="3">
                  <c:v>1.655</c:v>
                </c:pt>
                <c:pt idx="4">
                  <c:v>1.63</c:v>
                </c:pt>
                <c:pt idx="5">
                  <c:v>1.655</c:v>
                </c:pt>
                <c:pt idx="6">
                  <c:v>1.61</c:v>
                </c:pt>
                <c:pt idx="7">
                  <c:v>1.625</c:v>
                </c:pt>
                <c:pt idx="8">
                  <c:v>1.625</c:v>
                </c:pt>
                <c:pt idx="9">
                  <c:v>1.655</c:v>
                </c:pt>
                <c:pt idx="10">
                  <c:v>1.665</c:v>
                </c:pt>
                <c:pt idx="11">
                  <c:v>1.623</c:v>
                </c:pt>
                <c:pt idx="12">
                  <c:v>1.617</c:v>
                </c:pt>
                <c:pt idx="13">
                  <c:v>1.633</c:v>
                </c:pt>
                <c:pt idx="14">
                  <c:v>1.625</c:v>
                </c:pt>
                <c:pt idx="15">
                  <c:v>1.61</c:v>
                </c:pt>
                <c:pt idx="16">
                  <c:v>1.62</c:v>
                </c:pt>
                <c:pt idx="17">
                  <c:v>1.593</c:v>
                </c:pt>
                <c:pt idx="18">
                  <c:v>1.5649999999999999</c:v>
                </c:pt>
                <c:pt idx="19">
                  <c:v>1.613</c:v>
                </c:pt>
                <c:pt idx="20">
                  <c:v>1.635</c:v>
                </c:pt>
                <c:pt idx="21">
                  <c:v>1.61</c:v>
                </c:pt>
                <c:pt idx="22">
                  <c:v>1.74</c:v>
                </c:pt>
                <c:pt idx="23">
                  <c:v>1.65</c:v>
                </c:pt>
                <c:pt idx="24">
                  <c:v>1.62</c:v>
                </c:pt>
                <c:pt idx="25">
                  <c:v>1.607</c:v>
                </c:pt>
                <c:pt idx="26">
                  <c:v>1.65</c:v>
                </c:pt>
                <c:pt idx="27">
                  <c:v>1.605</c:v>
                </c:pt>
                <c:pt idx="28">
                  <c:v>1.585</c:v>
                </c:pt>
                <c:pt idx="29">
                  <c:v>1.605</c:v>
                </c:pt>
                <c:pt idx="30">
                  <c:v>1.532</c:v>
                </c:pt>
                <c:pt idx="31">
                  <c:v>1.54</c:v>
                </c:pt>
                <c:pt idx="32">
                  <c:v>1.57</c:v>
                </c:pt>
                <c:pt idx="33">
                  <c:v>1.53</c:v>
                </c:pt>
                <c:pt idx="34">
                  <c:v>1.542</c:v>
                </c:pt>
                <c:pt idx="35">
                  <c:v>1.595</c:v>
                </c:pt>
                <c:pt idx="36">
                  <c:v>1.57</c:v>
                </c:pt>
                <c:pt idx="37">
                  <c:v>1.5649999999999999</c:v>
                </c:pt>
                <c:pt idx="38">
                  <c:v>1.625</c:v>
                </c:pt>
                <c:pt idx="39">
                  <c:v>1.6</c:v>
                </c:pt>
                <c:pt idx="40">
                  <c:v>1.615</c:v>
                </c:pt>
                <c:pt idx="41">
                  <c:v>1.57</c:v>
                </c:pt>
                <c:pt idx="42">
                  <c:v>1.58</c:v>
                </c:pt>
                <c:pt idx="43">
                  <c:v>1.72</c:v>
                </c:pt>
                <c:pt idx="44">
                  <c:v>1.84</c:v>
                </c:pt>
                <c:pt idx="45">
                  <c:v>1.865</c:v>
                </c:pt>
                <c:pt idx="46">
                  <c:v>1.9850000000000001</c:v>
                </c:pt>
                <c:pt idx="47">
                  <c:v>1.92</c:v>
                </c:pt>
                <c:pt idx="48">
                  <c:v>1.905</c:v>
                </c:pt>
                <c:pt idx="49">
                  <c:v>1.915</c:v>
                </c:pt>
                <c:pt idx="50">
                  <c:v>1.91</c:v>
                </c:pt>
                <c:pt idx="51">
                  <c:v>1.95</c:v>
                </c:pt>
                <c:pt idx="52">
                  <c:v>1.96</c:v>
                </c:pt>
                <c:pt idx="53">
                  <c:v>1.92</c:v>
                </c:pt>
                <c:pt idx="54">
                  <c:v>1.895</c:v>
                </c:pt>
                <c:pt idx="55">
                  <c:v>1.885</c:v>
                </c:pt>
                <c:pt idx="56">
                  <c:v>1.98</c:v>
                </c:pt>
                <c:pt idx="57">
                  <c:v>1.835</c:v>
                </c:pt>
                <c:pt idx="58">
                  <c:v>1.83</c:v>
                </c:pt>
                <c:pt idx="59">
                  <c:v>1.853</c:v>
                </c:pt>
                <c:pt idx="60">
                  <c:v>1.8049999999999999</c:v>
                </c:pt>
                <c:pt idx="61">
                  <c:v>1.89</c:v>
                </c:pt>
                <c:pt idx="62">
                  <c:v>1.95</c:v>
                </c:pt>
                <c:pt idx="63">
                  <c:v>1.96</c:v>
                </c:pt>
                <c:pt idx="64">
                  <c:v>1.9450000000000001</c:v>
                </c:pt>
                <c:pt idx="65">
                  <c:v>1.89</c:v>
                </c:pt>
                <c:pt idx="66">
                  <c:v>1.958</c:v>
                </c:pt>
                <c:pt idx="67">
                  <c:v>1.97</c:v>
                </c:pt>
                <c:pt idx="68">
                  <c:v>1.9450000000000001</c:v>
                </c:pt>
                <c:pt idx="69">
                  <c:v>1.9450000000000001</c:v>
                </c:pt>
                <c:pt idx="70">
                  <c:v>2.0099999999999998</c:v>
                </c:pt>
                <c:pt idx="71">
                  <c:v>1.9550000000000001</c:v>
                </c:pt>
                <c:pt idx="72">
                  <c:v>1.895</c:v>
                </c:pt>
                <c:pt idx="73">
                  <c:v>1.895</c:v>
                </c:pt>
                <c:pt idx="74">
                  <c:v>1.9</c:v>
                </c:pt>
                <c:pt idx="75">
                  <c:v>1.89</c:v>
                </c:pt>
                <c:pt idx="76">
                  <c:v>1.905</c:v>
                </c:pt>
                <c:pt idx="77">
                  <c:v>1.7849999999999999</c:v>
                </c:pt>
                <c:pt idx="78">
                  <c:v>1.792</c:v>
                </c:pt>
                <c:pt idx="79">
                  <c:v>1.8</c:v>
                </c:pt>
                <c:pt idx="80">
                  <c:v>1.79</c:v>
                </c:pt>
                <c:pt idx="81">
                  <c:v>1.825</c:v>
                </c:pt>
                <c:pt idx="82">
                  <c:v>1.7050000000000001</c:v>
                </c:pt>
                <c:pt idx="83">
                  <c:v>1.738</c:v>
                </c:pt>
                <c:pt idx="84">
                  <c:v>1.7150000000000001</c:v>
                </c:pt>
                <c:pt idx="85">
                  <c:v>1.74</c:v>
                </c:pt>
                <c:pt idx="86">
                  <c:v>1.7949999999999999</c:v>
                </c:pt>
                <c:pt idx="87">
                  <c:v>1.8049999999999999</c:v>
                </c:pt>
                <c:pt idx="88">
                  <c:v>1.79</c:v>
                </c:pt>
                <c:pt idx="89">
                  <c:v>1.83</c:v>
                </c:pt>
                <c:pt idx="90">
                  <c:v>1.83</c:v>
                </c:pt>
                <c:pt idx="91">
                  <c:v>1.855</c:v>
                </c:pt>
                <c:pt idx="92">
                  <c:v>1.87</c:v>
                </c:pt>
                <c:pt idx="93">
                  <c:v>1.89</c:v>
                </c:pt>
                <c:pt idx="94">
                  <c:v>1.875</c:v>
                </c:pt>
                <c:pt idx="95">
                  <c:v>1.94</c:v>
                </c:pt>
                <c:pt idx="96">
                  <c:v>1.94</c:v>
                </c:pt>
                <c:pt idx="97">
                  <c:v>1.925</c:v>
                </c:pt>
                <c:pt idx="98">
                  <c:v>1.845</c:v>
                </c:pt>
                <c:pt idx="99">
                  <c:v>1.79</c:v>
                </c:pt>
                <c:pt idx="100">
                  <c:v>1.855</c:v>
                </c:pt>
                <c:pt idx="101">
                  <c:v>1.88</c:v>
                </c:pt>
                <c:pt idx="102">
                  <c:v>1.9450000000000001</c:v>
                </c:pt>
                <c:pt idx="103">
                  <c:v>1.915</c:v>
                </c:pt>
                <c:pt idx="104">
                  <c:v>1.875</c:v>
                </c:pt>
                <c:pt idx="105">
                  <c:v>1.88</c:v>
                </c:pt>
                <c:pt idx="106">
                  <c:v>1.867</c:v>
                </c:pt>
                <c:pt idx="107">
                  <c:v>1.835</c:v>
                </c:pt>
                <c:pt idx="108">
                  <c:v>1.96</c:v>
                </c:pt>
                <c:pt idx="109">
                  <c:v>2</c:v>
                </c:pt>
                <c:pt idx="110">
                  <c:v>1.88</c:v>
                </c:pt>
                <c:pt idx="111">
                  <c:v>1.85</c:v>
                </c:pt>
                <c:pt idx="112">
                  <c:v>1.835</c:v>
                </c:pt>
                <c:pt idx="113">
                  <c:v>1.77</c:v>
                </c:pt>
                <c:pt idx="114">
                  <c:v>1.778</c:v>
                </c:pt>
                <c:pt idx="115">
                  <c:v>1.8</c:v>
                </c:pt>
                <c:pt idx="116">
                  <c:v>1.825</c:v>
                </c:pt>
                <c:pt idx="117">
                  <c:v>1.82</c:v>
                </c:pt>
                <c:pt idx="118">
                  <c:v>1.89</c:v>
                </c:pt>
                <c:pt idx="119">
                  <c:v>1.855</c:v>
                </c:pt>
                <c:pt idx="120">
                  <c:v>1.855</c:v>
                </c:pt>
                <c:pt idx="121">
                  <c:v>1.8120000000000001</c:v>
                </c:pt>
                <c:pt idx="122">
                  <c:v>1.73</c:v>
                </c:pt>
                <c:pt idx="123">
                  <c:v>1.7749999999999999</c:v>
                </c:pt>
                <c:pt idx="124">
                  <c:v>1.7749999999999999</c:v>
                </c:pt>
                <c:pt idx="125">
                  <c:v>1.7949999999999999</c:v>
                </c:pt>
                <c:pt idx="126">
                  <c:v>1.8049999999999999</c:v>
                </c:pt>
                <c:pt idx="127">
                  <c:v>1.875</c:v>
                </c:pt>
                <c:pt idx="128">
                  <c:v>1.9</c:v>
                </c:pt>
                <c:pt idx="129">
                  <c:v>1.93</c:v>
                </c:pt>
                <c:pt idx="130">
                  <c:v>1.895</c:v>
                </c:pt>
                <c:pt idx="131">
                  <c:v>1.903</c:v>
                </c:pt>
                <c:pt idx="132">
                  <c:v>1.97</c:v>
                </c:pt>
                <c:pt idx="133">
                  <c:v>2.0699999999999998</c:v>
                </c:pt>
                <c:pt idx="134">
                  <c:v>2.13</c:v>
                </c:pt>
                <c:pt idx="135">
                  <c:v>2.1749999999999998</c:v>
                </c:pt>
                <c:pt idx="136">
                  <c:v>2.2400000000000002</c:v>
                </c:pt>
                <c:pt idx="137">
                  <c:v>2.17</c:v>
                </c:pt>
                <c:pt idx="138">
                  <c:v>2.16</c:v>
                </c:pt>
                <c:pt idx="139">
                  <c:v>2.19</c:v>
                </c:pt>
                <c:pt idx="140">
                  <c:v>2.2050000000000001</c:v>
                </c:pt>
                <c:pt idx="141">
                  <c:v>2.1949999999999998</c:v>
                </c:pt>
                <c:pt idx="142">
                  <c:v>2.17</c:v>
                </c:pt>
                <c:pt idx="143">
                  <c:v>2.14</c:v>
                </c:pt>
                <c:pt idx="144">
                  <c:v>2.11</c:v>
                </c:pt>
                <c:pt idx="145">
                  <c:v>2.0499999999999998</c:v>
                </c:pt>
                <c:pt idx="146">
                  <c:v>2.11</c:v>
                </c:pt>
                <c:pt idx="147">
                  <c:v>2.15</c:v>
                </c:pt>
                <c:pt idx="148">
                  <c:v>2.15</c:v>
                </c:pt>
                <c:pt idx="149">
                  <c:v>2.11</c:v>
                </c:pt>
                <c:pt idx="150">
                  <c:v>2.0499999999999998</c:v>
                </c:pt>
                <c:pt idx="151">
                  <c:v>2.04</c:v>
                </c:pt>
                <c:pt idx="152">
                  <c:v>2.0099999999999998</c:v>
                </c:pt>
                <c:pt idx="153">
                  <c:v>2.085</c:v>
                </c:pt>
                <c:pt idx="154">
                  <c:v>2.08</c:v>
                </c:pt>
                <c:pt idx="155">
                  <c:v>2.21</c:v>
                </c:pt>
                <c:pt idx="156">
                  <c:v>2.23</c:v>
                </c:pt>
                <c:pt idx="157">
                  <c:v>2.2200000000000002</c:v>
                </c:pt>
                <c:pt idx="158">
                  <c:v>2.25</c:v>
                </c:pt>
                <c:pt idx="159">
                  <c:v>2.27</c:v>
                </c:pt>
                <c:pt idx="160">
                  <c:v>2.23</c:v>
                </c:pt>
                <c:pt idx="161">
                  <c:v>2.2349999999999999</c:v>
                </c:pt>
                <c:pt idx="162">
                  <c:v>2.2549999999999999</c:v>
                </c:pt>
                <c:pt idx="163">
                  <c:v>2.21</c:v>
                </c:pt>
                <c:pt idx="164">
                  <c:v>2.25</c:v>
                </c:pt>
                <c:pt idx="165">
                  <c:v>2.2200000000000002</c:v>
                </c:pt>
                <c:pt idx="166">
                  <c:v>2.25</c:v>
                </c:pt>
                <c:pt idx="167">
                  <c:v>2.1800000000000002</c:v>
                </c:pt>
                <c:pt idx="168">
                  <c:v>2.27</c:v>
                </c:pt>
                <c:pt idx="169">
                  <c:v>2.21</c:v>
                </c:pt>
                <c:pt idx="170">
                  <c:v>2.23</c:v>
                </c:pt>
                <c:pt idx="171">
                  <c:v>2.16</c:v>
                </c:pt>
                <c:pt idx="172">
                  <c:v>2.15</c:v>
                </c:pt>
                <c:pt idx="173">
                  <c:v>2.19</c:v>
                </c:pt>
                <c:pt idx="174">
                  <c:v>2.14</c:v>
                </c:pt>
                <c:pt idx="175">
                  <c:v>2.1150000000000002</c:v>
                </c:pt>
                <c:pt idx="176">
                  <c:v>2.1800000000000002</c:v>
                </c:pt>
                <c:pt idx="177">
                  <c:v>2.16</c:v>
                </c:pt>
                <c:pt idx="178">
                  <c:v>2.2400000000000002</c:v>
                </c:pt>
                <c:pt idx="179">
                  <c:v>2.2200000000000002</c:v>
                </c:pt>
                <c:pt idx="180">
                  <c:v>2.2050000000000001</c:v>
                </c:pt>
                <c:pt idx="181">
                  <c:v>2.12</c:v>
                </c:pt>
                <c:pt idx="182">
                  <c:v>2.14</c:v>
                </c:pt>
                <c:pt idx="183">
                  <c:v>2.19</c:v>
                </c:pt>
                <c:pt idx="184">
                  <c:v>2.16</c:v>
                </c:pt>
                <c:pt idx="185">
                  <c:v>2.1</c:v>
                </c:pt>
                <c:pt idx="186">
                  <c:v>2.1850000000000001</c:v>
                </c:pt>
                <c:pt idx="187">
                  <c:v>2.15</c:v>
                </c:pt>
                <c:pt idx="188">
                  <c:v>2.15</c:v>
                </c:pt>
                <c:pt idx="189">
                  <c:v>2.14</c:v>
                </c:pt>
                <c:pt idx="190">
                  <c:v>2.0499999999999998</c:v>
                </c:pt>
                <c:pt idx="191">
                  <c:v>2.125</c:v>
                </c:pt>
                <c:pt idx="192">
                  <c:v>2.08</c:v>
                </c:pt>
                <c:pt idx="193">
                  <c:v>2.0449999999999999</c:v>
                </c:pt>
                <c:pt idx="194">
                  <c:v>2.04</c:v>
                </c:pt>
                <c:pt idx="195">
                  <c:v>2.0299999999999998</c:v>
                </c:pt>
                <c:pt idx="196">
                  <c:v>2.0299999999999998</c:v>
                </c:pt>
                <c:pt idx="197">
                  <c:v>2.0350000000000001</c:v>
                </c:pt>
                <c:pt idx="198">
                  <c:v>2.1</c:v>
                </c:pt>
                <c:pt idx="199">
                  <c:v>2.09</c:v>
                </c:pt>
                <c:pt idx="200">
                  <c:v>2.13</c:v>
                </c:pt>
                <c:pt idx="201">
                  <c:v>2.19</c:v>
                </c:pt>
                <c:pt idx="202">
                  <c:v>2.3199999999999998</c:v>
                </c:pt>
                <c:pt idx="203">
                  <c:v>2.3199999999999998</c:v>
                </c:pt>
                <c:pt idx="204">
                  <c:v>2.4750000000000001</c:v>
                </c:pt>
                <c:pt idx="205">
                  <c:v>2.4900000000000002</c:v>
                </c:pt>
                <c:pt idx="206">
                  <c:v>2.5750000000000002</c:v>
                </c:pt>
                <c:pt idx="207">
                  <c:v>2.52</c:v>
                </c:pt>
                <c:pt idx="208">
                  <c:v>2.5299999999999998</c:v>
                </c:pt>
                <c:pt idx="209">
                  <c:v>2.5049999999999999</c:v>
                </c:pt>
                <c:pt idx="210">
                  <c:v>2.4950000000000001</c:v>
                </c:pt>
                <c:pt idx="211">
                  <c:v>2.5049999999999999</c:v>
                </c:pt>
                <c:pt idx="212">
                  <c:v>2.46</c:v>
                </c:pt>
                <c:pt idx="213">
                  <c:v>2.4</c:v>
                </c:pt>
                <c:pt idx="214">
                  <c:v>2.36</c:v>
                </c:pt>
                <c:pt idx="215">
                  <c:v>2.31</c:v>
                </c:pt>
                <c:pt idx="216">
                  <c:v>2.2999999999999998</c:v>
                </c:pt>
                <c:pt idx="217">
                  <c:v>2.17</c:v>
                </c:pt>
                <c:pt idx="218">
                  <c:v>2.2599999999999998</c:v>
                </c:pt>
                <c:pt idx="219">
                  <c:v>2.35</c:v>
                </c:pt>
                <c:pt idx="220">
                  <c:v>2.31</c:v>
                </c:pt>
                <c:pt idx="221">
                  <c:v>2.335</c:v>
                </c:pt>
                <c:pt idx="222">
                  <c:v>2.29</c:v>
                </c:pt>
                <c:pt idx="223">
                  <c:v>2.31</c:v>
                </c:pt>
                <c:pt idx="224">
                  <c:v>2.36</c:v>
                </c:pt>
                <c:pt idx="225">
                  <c:v>2.4500000000000002</c:v>
                </c:pt>
                <c:pt idx="226">
                  <c:v>2.5</c:v>
                </c:pt>
                <c:pt idx="227">
                  <c:v>2.5</c:v>
                </c:pt>
                <c:pt idx="228">
                  <c:v>2.5299999999999998</c:v>
                </c:pt>
                <c:pt idx="229">
                  <c:v>2.54</c:v>
                </c:pt>
                <c:pt idx="230">
                  <c:v>2.4700000000000002</c:v>
                </c:pt>
                <c:pt idx="231">
                  <c:v>2.5550000000000002</c:v>
                </c:pt>
                <c:pt idx="232">
                  <c:v>2.58</c:v>
                </c:pt>
                <c:pt idx="233">
                  <c:v>2.54</c:v>
                </c:pt>
                <c:pt idx="234">
                  <c:v>2.56</c:v>
                </c:pt>
                <c:pt idx="235">
                  <c:v>2.5</c:v>
                </c:pt>
                <c:pt idx="236">
                  <c:v>2.46</c:v>
                </c:pt>
                <c:pt idx="237">
                  <c:v>2.63</c:v>
                </c:pt>
                <c:pt idx="238">
                  <c:v>2.68</c:v>
                </c:pt>
                <c:pt idx="239">
                  <c:v>2.69</c:v>
                </c:pt>
                <c:pt idx="240">
                  <c:v>2.8149999999999999</c:v>
                </c:pt>
                <c:pt idx="241">
                  <c:v>2.8</c:v>
                </c:pt>
                <c:pt idx="242">
                  <c:v>2.85</c:v>
                </c:pt>
                <c:pt idx="243">
                  <c:v>2.73</c:v>
                </c:pt>
                <c:pt idx="244">
                  <c:v>2.67</c:v>
                </c:pt>
                <c:pt idx="245">
                  <c:v>2.64</c:v>
                </c:pt>
                <c:pt idx="246">
                  <c:v>2.66</c:v>
                </c:pt>
                <c:pt idx="247">
                  <c:v>2.58</c:v>
                </c:pt>
                <c:pt idx="248">
                  <c:v>2.52</c:v>
                </c:pt>
                <c:pt idx="249">
                  <c:v>2.5649999999999999</c:v>
                </c:pt>
                <c:pt idx="250">
                  <c:v>2.57</c:v>
                </c:pt>
                <c:pt idx="251">
                  <c:v>2.56</c:v>
                </c:pt>
                <c:pt idx="252">
                  <c:v>2.5499999999999998</c:v>
                </c:pt>
                <c:pt idx="25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96C-9246-9913-55772E5D5211}"/>
            </c:ext>
          </c:extLst>
        </c:ser>
        <c:ser>
          <c:idx val="2"/>
          <c:order val="2"/>
          <c:tx>
            <c:strRef>
              <c:f>'stock price'!$D$1</c:f>
              <c:strCache>
                <c:ptCount val="1"/>
                <c:pt idx="0">
                  <c:v> Low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price'!$D$2:$D$255</c:f>
              <c:numCache>
                <c:formatCode>_("$"* #,##0.00_);_("$"* \(#,##0.00\);_("$"* "-"??_);_(@_)</c:formatCode>
                <c:ptCount val="254"/>
                <c:pt idx="0">
                  <c:v>1.7350000000000001</c:v>
                </c:pt>
                <c:pt idx="1">
                  <c:v>1.6850000000000001</c:v>
                </c:pt>
                <c:pt idx="2">
                  <c:v>1.615</c:v>
                </c:pt>
                <c:pt idx="3">
                  <c:v>1.62</c:v>
                </c:pt>
                <c:pt idx="4">
                  <c:v>1.6</c:v>
                </c:pt>
                <c:pt idx="5">
                  <c:v>1.6</c:v>
                </c:pt>
                <c:pt idx="6">
                  <c:v>1.575</c:v>
                </c:pt>
                <c:pt idx="7">
                  <c:v>1.56</c:v>
                </c:pt>
                <c:pt idx="8">
                  <c:v>1.58</c:v>
                </c:pt>
                <c:pt idx="9">
                  <c:v>1.617</c:v>
                </c:pt>
                <c:pt idx="10">
                  <c:v>1.615</c:v>
                </c:pt>
                <c:pt idx="11">
                  <c:v>1.575</c:v>
                </c:pt>
                <c:pt idx="12">
                  <c:v>1.575</c:v>
                </c:pt>
                <c:pt idx="13">
                  <c:v>1.59</c:v>
                </c:pt>
                <c:pt idx="14">
                  <c:v>1.587</c:v>
                </c:pt>
                <c:pt idx="15">
                  <c:v>1.52</c:v>
                </c:pt>
                <c:pt idx="16">
                  <c:v>1.5149999999999999</c:v>
                </c:pt>
                <c:pt idx="17">
                  <c:v>1.5449999999999999</c:v>
                </c:pt>
                <c:pt idx="18">
                  <c:v>1.4850000000000001</c:v>
                </c:pt>
                <c:pt idx="19">
                  <c:v>1.5449999999999999</c:v>
                </c:pt>
                <c:pt idx="20">
                  <c:v>1.5649999999999999</c:v>
                </c:pt>
                <c:pt idx="21">
                  <c:v>1.5349999999999999</c:v>
                </c:pt>
                <c:pt idx="22">
                  <c:v>1.66</c:v>
                </c:pt>
                <c:pt idx="23">
                  <c:v>1.585</c:v>
                </c:pt>
                <c:pt idx="24">
                  <c:v>1.5649999999999999</c:v>
                </c:pt>
                <c:pt idx="25">
                  <c:v>1.57</c:v>
                </c:pt>
                <c:pt idx="26">
                  <c:v>1.587</c:v>
                </c:pt>
                <c:pt idx="27">
                  <c:v>1.55</c:v>
                </c:pt>
                <c:pt idx="28">
                  <c:v>1.54</c:v>
                </c:pt>
                <c:pt idx="29">
                  <c:v>1.55</c:v>
                </c:pt>
                <c:pt idx="30">
                  <c:v>1.4650000000000001</c:v>
                </c:pt>
                <c:pt idx="31">
                  <c:v>1.5</c:v>
                </c:pt>
                <c:pt idx="32">
                  <c:v>1.5149999999999999</c:v>
                </c:pt>
                <c:pt idx="33">
                  <c:v>1.5049999999999999</c:v>
                </c:pt>
                <c:pt idx="34">
                  <c:v>1.51</c:v>
                </c:pt>
                <c:pt idx="35">
                  <c:v>1.55</c:v>
                </c:pt>
                <c:pt idx="36">
                  <c:v>1.52</c:v>
                </c:pt>
                <c:pt idx="37">
                  <c:v>1.54</c:v>
                </c:pt>
                <c:pt idx="38">
                  <c:v>1.585</c:v>
                </c:pt>
                <c:pt idx="39">
                  <c:v>1.52</c:v>
                </c:pt>
                <c:pt idx="40">
                  <c:v>1.57</c:v>
                </c:pt>
                <c:pt idx="41">
                  <c:v>1.48</c:v>
                </c:pt>
                <c:pt idx="42">
                  <c:v>1.5449999999999999</c:v>
                </c:pt>
                <c:pt idx="43">
                  <c:v>1.625</c:v>
                </c:pt>
                <c:pt idx="44">
                  <c:v>1.7250000000000001</c:v>
                </c:pt>
                <c:pt idx="45">
                  <c:v>1.82</c:v>
                </c:pt>
                <c:pt idx="46">
                  <c:v>1.875</c:v>
                </c:pt>
                <c:pt idx="47">
                  <c:v>1.837</c:v>
                </c:pt>
                <c:pt idx="48">
                  <c:v>1.84</c:v>
                </c:pt>
                <c:pt idx="49">
                  <c:v>1.87</c:v>
                </c:pt>
                <c:pt idx="50">
                  <c:v>1.837</c:v>
                </c:pt>
                <c:pt idx="51">
                  <c:v>1.867</c:v>
                </c:pt>
                <c:pt idx="52">
                  <c:v>1.885</c:v>
                </c:pt>
                <c:pt idx="53">
                  <c:v>1.84</c:v>
                </c:pt>
                <c:pt idx="54">
                  <c:v>1.843</c:v>
                </c:pt>
                <c:pt idx="55">
                  <c:v>1.845</c:v>
                </c:pt>
                <c:pt idx="56">
                  <c:v>1.9</c:v>
                </c:pt>
                <c:pt idx="57">
                  <c:v>1.75</c:v>
                </c:pt>
                <c:pt idx="58">
                  <c:v>1.74</c:v>
                </c:pt>
                <c:pt idx="59">
                  <c:v>1.76</c:v>
                </c:pt>
                <c:pt idx="60">
                  <c:v>1.72</c:v>
                </c:pt>
                <c:pt idx="61">
                  <c:v>1.83</c:v>
                </c:pt>
                <c:pt idx="62">
                  <c:v>1.9</c:v>
                </c:pt>
                <c:pt idx="63">
                  <c:v>1.9</c:v>
                </c:pt>
                <c:pt idx="64">
                  <c:v>1.89</c:v>
                </c:pt>
                <c:pt idx="65">
                  <c:v>1.845</c:v>
                </c:pt>
                <c:pt idx="66">
                  <c:v>1.865</c:v>
                </c:pt>
                <c:pt idx="67">
                  <c:v>1.93</c:v>
                </c:pt>
                <c:pt idx="68">
                  <c:v>1.915</c:v>
                </c:pt>
                <c:pt idx="69">
                  <c:v>1.89</c:v>
                </c:pt>
                <c:pt idx="70">
                  <c:v>1.9419999999999999</c:v>
                </c:pt>
                <c:pt idx="71">
                  <c:v>1.895</c:v>
                </c:pt>
                <c:pt idx="72">
                  <c:v>1.837</c:v>
                </c:pt>
                <c:pt idx="73">
                  <c:v>1.85</c:v>
                </c:pt>
                <c:pt idx="74">
                  <c:v>1.8149999999999999</c:v>
                </c:pt>
                <c:pt idx="75">
                  <c:v>1.7949999999999999</c:v>
                </c:pt>
                <c:pt idx="76">
                  <c:v>1.825</c:v>
                </c:pt>
                <c:pt idx="77">
                  <c:v>1.72</c:v>
                </c:pt>
                <c:pt idx="78">
                  <c:v>1.7549999999999999</c:v>
                </c:pt>
                <c:pt idx="79">
                  <c:v>1.74</c:v>
                </c:pt>
                <c:pt idx="80">
                  <c:v>1.7450000000000001</c:v>
                </c:pt>
                <c:pt idx="81">
                  <c:v>1.76</c:v>
                </c:pt>
                <c:pt idx="82">
                  <c:v>1.665</c:v>
                </c:pt>
                <c:pt idx="83">
                  <c:v>1.7</c:v>
                </c:pt>
                <c:pt idx="84">
                  <c:v>1.67</c:v>
                </c:pt>
                <c:pt idx="85">
                  <c:v>1.7</c:v>
                </c:pt>
                <c:pt idx="86">
                  <c:v>1.7350000000000001</c:v>
                </c:pt>
                <c:pt idx="87">
                  <c:v>1.78</c:v>
                </c:pt>
                <c:pt idx="88">
                  <c:v>1.7549999999999999</c:v>
                </c:pt>
                <c:pt idx="89">
                  <c:v>1.7949999999999999</c:v>
                </c:pt>
                <c:pt idx="90">
                  <c:v>1.7949999999999999</c:v>
                </c:pt>
                <c:pt idx="91">
                  <c:v>1.78</c:v>
                </c:pt>
                <c:pt idx="92">
                  <c:v>1.8149999999999999</c:v>
                </c:pt>
                <c:pt idx="93">
                  <c:v>1.845</c:v>
                </c:pt>
                <c:pt idx="94">
                  <c:v>1.84</c:v>
                </c:pt>
                <c:pt idx="95">
                  <c:v>1.9</c:v>
                </c:pt>
                <c:pt idx="96">
                  <c:v>1.915</c:v>
                </c:pt>
                <c:pt idx="97">
                  <c:v>1.883</c:v>
                </c:pt>
                <c:pt idx="98">
                  <c:v>1.79</c:v>
                </c:pt>
                <c:pt idx="99">
                  <c:v>1.7549999999999999</c:v>
                </c:pt>
                <c:pt idx="100">
                  <c:v>1.7949999999999999</c:v>
                </c:pt>
                <c:pt idx="101">
                  <c:v>1.835</c:v>
                </c:pt>
                <c:pt idx="102">
                  <c:v>1.84</c:v>
                </c:pt>
                <c:pt idx="103">
                  <c:v>1.75</c:v>
                </c:pt>
                <c:pt idx="104">
                  <c:v>1.8</c:v>
                </c:pt>
                <c:pt idx="105">
                  <c:v>1.8149999999999999</c:v>
                </c:pt>
                <c:pt idx="106">
                  <c:v>1.8169999999999999</c:v>
                </c:pt>
                <c:pt idx="107">
                  <c:v>1.7749999999999999</c:v>
                </c:pt>
                <c:pt idx="108">
                  <c:v>1.86</c:v>
                </c:pt>
                <c:pt idx="109">
                  <c:v>1.96</c:v>
                </c:pt>
                <c:pt idx="110">
                  <c:v>1.802</c:v>
                </c:pt>
                <c:pt idx="111">
                  <c:v>1.78</c:v>
                </c:pt>
                <c:pt idx="112">
                  <c:v>1.77</c:v>
                </c:pt>
                <c:pt idx="113">
                  <c:v>1.7150000000000001</c:v>
                </c:pt>
                <c:pt idx="114">
                  <c:v>1.73</c:v>
                </c:pt>
                <c:pt idx="115">
                  <c:v>1.75</c:v>
                </c:pt>
                <c:pt idx="116">
                  <c:v>1.78</c:v>
                </c:pt>
                <c:pt idx="117">
                  <c:v>1.7949999999999999</c:v>
                </c:pt>
                <c:pt idx="118">
                  <c:v>1.843</c:v>
                </c:pt>
                <c:pt idx="119">
                  <c:v>1.82</c:v>
                </c:pt>
                <c:pt idx="120">
                  <c:v>1.8049999999999999</c:v>
                </c:pt>
                <c:pt idx="121">
                  <c:v>1.742</c:v>
                </c:pt>
                <c:pt idx="122">
                  <c:v>1.68</c:v>
                </c:pt>
                <c:pt idx="123">
                  <c:v>1.722</c:v>
                </c:pt>
                <c:pt idx="124">
                  <c:v>1.72</c:v>
                </c:pt>
                <c:pt idx="125">
                  <c:v>1.75</c:v>
                </c:pt>
                <c:pt idx="126">
                  <c:v>1.7549999999999999</c:v>
                </c:pt>
                <c:pt idx="127">
                  <c:v>1.827</c:v>
                </c:pt>
                <c:pt idx="128">
                  <c:v>1.845</c:v>
                </c:pt>
                <c:pt idx="129">
                  <c:v>1.875</c:v>
                </c:pt>
                <c:pt idx="130">
                  <c:v>1.855</c:v>
                </c:pt>
                <c:pt idx="131">
                  <c:v>1.857</c:v>
                </c:pt>
                <c:pt idx="132">
                  <c:v>1.89</c:v>
                </c:pt>
                <c:pt idx="133">
                  <c:v>1.96</c:v>
                </c:pt>
                <c:pt idx="134">
                  <c:v>2.0449999999999999</c:v>
                </c:pt>
                <c:pt idx="135">
                  <c:v>2.13</c:v>
                </c:pt>
                <c:pt idx="136">
                  <c:v>2.15</c:v>
                </c:pt>
                <c:pt idx="137">
                  <c:v>2.09</c:v>
                </c:pt>
                <c:pt idx="138">
                  <c:v>2.0499999999999998</c:v>
                </c:pt>
                <c:pt idx="139">
                  <c:v>2.15</c:v>
                </c:pt>
                <c:pt idx="140">
                  <c:v>2.12</c:v>
                </c:pt>
                <c:pt idx="141">
                  <c:v>2.1</c:v>
                </c:pt>
                <c:pt idx="142">
                  <c:v>2.09</c:v>
                </c:pt>
                <c:pt idx="143">
                  <c:v>2.0299999999999998</c:v>
                </c:pt>
                <c:pt idx="144">
                  <c:v>2.0499999999999998</c:v>
                </c:pt>
                <c:pt idx="145">
                  <c:v>2</c:v>
                </c:pt>
                <c:pt idx="146">
                  <c:v>2.0299999999999998</c:v>
                </c:pt>
                <c:pt idx="147">
                  <c:v>2.08</c:v>
                </c:pt>
                <c:pt idx="148">
                  <c:v>2.0299999999999998</c:v>
                </c:pt>
                <c:pt idx="149">
                  <c:v>2.04</c:v>
                </c:pt>
                <c:pt idx="150">
                  <c:v>2</c:v>
                </c:pt>
                <c:pt idx="151">
                  <c:v>1.9750000000000001</c:v>
                </c:pt>
                <c:pt idx="152">
                  <c:v>1.9650000000000001</c:v>
                </c:pt>
                <c:pt idx="153">
                  <c:v>2.04</c:v>
                </c:pt>
                <c:pt idx="154">
                  <c:v>2</c:v>
                </c:pt>
                <c:pt idx="155">
                  <c:v>2.09</c:v>
                </c:pt>
                <c:pt idx="156">
                  <c:v>2.1800000000000002</c:v>
                </c:pt>
                <c:pt idx="157">
                  <c:v>2.1800000000000002</c:v>
                </c:pt>
                <c:pt idx="158">
                  <c:v>2.16</c:v>
                </c:pt>
                <c:pt idx="159">
                  <c:v>2.17</c:v>
                </c:pt>
                <c:pt idx="160">
                  <c:v>2.1549999999999998</c:v>
                </c:pt>
                <c:pt idx="161">
                  <c:v>2.16</c:v>
                </c:pt>
                <c:pt idx="162">
                  <c:v>2.19</c:v>
                </c:pt>
                <c:pt idx="163">
                  <c:v>2.16</c:v>
                </c:pt>
                <c:pt idx="164">
                  <c:v>2.19</c:v>
                </c:pt>
                <c:pt idx="165">
                  <c:v>2.1800000000000002</c:v>
                </c:pt>
                <c:pt idx="166">
                  <c:v>2.1850000000000001</c:v>
                </c:pt>
                <c:pt idx="167">
                  <c:v>2.0699999999999998</c:v>
                </c:pt>
                <c:pt idx="168">
                  <c:v>2.13</c:v>
                </c:pt>
                <c:pt idx="169">
                  <c:v>2.12</c:v>
                </c:pt>
                <c:pt idx="170">
                  <c:v>2.17</c:v>
                </c:pt>
                <c:pt idx="171">
                  <c:v>2.0449999999999999</c:v>
                </c:pt>
                <c:pt idx="172">
                  <c:v>2.0699999999999998</c:v>
                </c:pt>
                <c:pt idx="173">
                  <c:v>2.09</c:v>
                </c:pt>
                <c:pt idx="174">
                  <c:v>2.0699999999999998</c:v>
                </c:pt>
                <c:pt idx="175">
                  <c:v>2.09</c:v>
                </c:pt>
                <c:pt idx="176">
                  <c:v>2.11</c:v>
                </c:pt>
                <c:pt idx="177">
                  <c:v>2.12</c:v>
                </c:pt>
                <c:pt idx="178">
                  <c:v>2.1800000000000002</c:v>
                </c:pt>
                <c:pt idx="179">
                  <c:v>2.16</c:v>
                </c:pt>
                <c:pt idx="180">
                  <c:v>2.09</c:v>
                </c:pt>
                <c:pt idx="181">
                  <c:v>2.0499999999999998</c:v>
                </c:pt>
                <c:pt idx="182">
                  <c:v>2.06</c:v>
                </c:pt>
                <c:pt idx="183">
                  <c:v>2.11</c:v>
                </c:pt>
                <c:pt idx="184">
                  <c:v>2.0699999999999998</c:v>
                </c:pt>
                <c:pt idx="185">
                  <c:v>2.0499999999999998</c:v>
                </c:pt>
                <c:pt idx="186">
                  <c:v>2.1</c:v>
                </c:pt>
                <c:pt idx="187">
                  <c:v>2.09</c:v>
                </c:pt>
                <c:pt idx="188">
                  <c:v>2.09</c:v>
                </c:pt>
                <c:pt idx="189">
                  <c:v>2.0299999999999998</c:v>
                </c:pt>
                <c:pt idx="190">
                  <c:v>2.0099999999999998</c:v>
                </c:pt>
                <c:pt idx="191">
                  <c:v>2.0699999999999998</c:v>
                </c:pt>
                <c:pt idx="192">
                  <c:v>2</c:v>
                </c:pt>
                <c:pt idx="193">
                  <c:v>1.98</c:v>
                </c:pt>
                <c:pt idx="194">
                  <c:v>1.98</c:v>
                </c:pt>
                <c:pt idx="195">
                  <c:v>1.99</c:v>
                </c:pt>
                <c:pt idx="196">
                  <c:v>1.98</c:v>
                </c:pt>
                <c:pt idx="197">
                  <c:v>2.0049999999999999</c:v>
                </c:pt>
                <c:pt idx="198">
                  <c:v>2.0499999999999998</c:v>
                </c:pt>
                <c:pt idx="199">
                  <c:v>2.04</c:v>
                </c:pt>
                <c:pt idx="200">
                  <c:v>2.0699999999999998</c:v>
                </c:pt>
                <c:pt idx="201">
                  <c:v>2.11</c:v>
                </c:pt>
                <c:pt idx="202">
                  <c:v>2.2000000000000002</c:v>
                </c:pt>
                <c:pt idx="203">
                  <c:v>2.2549999999999999</c:v>
                </c:pt>
                <c:pt idx="204">
                  <c:v>2.375</c:v>
                </c:pt>
                <c:pt idx="205">
                  <c:v>2.3849999999999998</c:v>
                </c:pt>
                <c:pt idx="206">
                  <c:v>2.46</c:v>
                </c:pt>
                <c:pt idx="207">
                  <c:v>2.4300000000000002</c:v>
                </c:pt>
                <c:pt idx="208">
                  <c:v>2.4500000000000002</c:v>
                </c:pt>
                <c:pt idx="209">
                  <c:v>2.42</c:v>
                </c:pt>
                <c:pt idx="210">
                  <c:v>2.42</c:v>
                </c:pt>
                <c:pt idx="211">
                  <c:v>2.39</c:v>
                </c:pt>
                <c:pt idx="212">
                  <c:v>2.38</c:v>
                </c:pt>
                <c:pt idx="213">
                  <c:v>2.33</c:v>
                </c:pt>
                <c:pt idx="214">
                  <c:v>2.2999999999999998</c:v>
                </c:pt>
                <c:pt idx="215">
                  <c:v>2.25</c:v>
                </c:pt>
                <c:pt idx="216">
                  <c:v>2.19</c:v>
                </c:pt>
                <c:pt idx="217">
                  <c:v>2.09</c:v>
                </c:pt>
                <c:pt idx="218">
                  <c:v>2.1749999999999998</c:v>
                </c:pt>
                <c:pt idx="219">
                  <c:v>2.23</c:v>
                </c:pt>
                <c:pt idx="220">
                  <c:v>2.2000000000000002</c:v>
                </c:pt>
                <c:pt idx="221">
                  <c:v>2.2599999999999998</c:v>
                </c:pt>
                <c:pt idx="222">
                  <c:v>2.21</c:v>
                </c:pt>
                <c:pt idx="223">
                  <c:v>2.2400000000000002</c:v>
                </c:pt>
                <c:pt idx="224">
                  <c:v>2.2599999999999998</c:v>
                </c:pt>
                <c:pt idx="225">
                  <c:v>2.34</c:v>
                </c:pt>
                <c:pt idx="226">
                  <c:v>2.4550000000000001</c:v>
                </c:pt>
                <c:pt idx="227">
                  <c:v>2.46</c:v>
                </c:pt>
                <c:pt idx="228">
                  <c:v>2.4900000000000002</c:v>
                </c:pt>
                <c:pt idx="229">
                  <c:v>2.4500000000000002</c:v>
                </c:pt>
                <c:pt idx="230">
                  <c:v>2.41</c:v>
                </c:pt>
                <c:pt idx="231">
                  <c:v>2.5099999999999998</c:v>
                </c:pt>
                <c:pt idx="232">
                  <c:v>2.52</c:v>
                </c:pt>
                <c:pt idx="233">
                  <c:v>2.48</c:v>
                </c:pt>
                <c:pt idx="234">
                  <c:v>2.4649999999999999</c:v>
                </c:pt>
                <c:pt idx="235">
                  <c:v>2.4300000000000002</c:v>
                </c:pt>
                <c:pt idx="236">
                  <c:v>2.4</c:v>
                </c:pt>
                <c:pt idx="237">
                  <c:v>2.4500000000000002</c:v>
                </c:pt>
                <c:pt idx="238">
                  <c:v>2.57</c:v>
                </c:pt>
                <c:pt idx="239">
                  <c:v>2.59</c:v>
                </c:pt>
                <c:pt idx="240">
                  <c:v>2.7</c:v>
                </c:pt>
                <c:pt idx="241">
                  <c:v>2.7349999999999999</c:v>
                </c:pt>
                <c:pt idx="242">
                  <c:v>2.74</c:v>
                </c:pt>
                <c:pt idx="243">
                  <c:v>2.66</c:v>
                </c:pt>
                <c:pt idx="244">
                  <c:v>2.59</c:v>
                </c:pt>
                <c:pt idx="245">
                  <c:v>2.57</c:v>
                </c:pt>
                <c:pt idx="246">
                  <c:v>2.58</c:v>
                </c:pt>
                <c:pt idx="247">
                  <c:v>2.48</c:v>
                </c:pt>
                <c:pt idx="248">
                  <c:v>2.4550000000000001</c:v>
                </c:pt>
                <c:pt idx="249">
                  <c:v>2.5</c:v>
                </c:pt>
                <c:pt idx="250">
                  <c:v>2.5</c:v>
                </c:pt>
                <c:pt idx="251">
                  <c:v>2.5049999999999999</c:v>
                </c:pt>
                <c:pt idx="252">
                  <c:v>2.4900000000000002</c:v>
                </c:pt>
                <c:pt idx="253">
                  <c:v>2.4350000000000001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96C-9246-9913-55772E5D5211}"/>
            </c:ext>
          </c:extLst>
        </c:ser>
        <c:ser>
          <c:idx val="3"/>
          <c:order val="3"/>
          <c:tx>
            <c:strRef>
              <c:f>'stock price'!$E$1</c:f>
              <c:strCache>
                <c:ptCount val="1"/>
                <c:pt idx="0">
                  <c:v> Close </c:v>
                </c:pt>
              </c:strCache>
            </c:strRef>
          </c:tx>
          <c:spPr>
            <a:ln w="2540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price'!$E$2:$E$255</c:f>
              <c:numCache>
                <c:formatCode>_("$"* #,##0.00_);_("$"* \(#,##0.00\);_("$"* "-"??_);_(@_)</c:formatCode>
                <c:ptCount val="254"/>
                <c:pt idx="0">
                  <c:v>1.74</c:v>
                </c:pt>
                <c:pt idx="1">
                  <c:v>1.69</c:v>
                </c:pt>
                <c:pt idx="2">
                  <c:v>1.625</c:v>
                </c:pt>
                <c:pt idx="3">
                  <c:v>1.625</c:v>
                </c:pt>
                <c:pt idx="4">
                  <c:v>1.63</c:v>
                </c:pt>
                <c:pt idx="5">
                  <c:v>1.605</c:v>
                </c:pt>
                <c:pt idx="6">
                  <c:v>1.59</c:v>
                </c:pt>
                <c:pt idx="7">
                  <c:v>1.615</c:v>
                </c:pt>
                <c:pt idx="8">
                  <c:v>1.62</c:v>
                </c:pt>
                <c:pt idx="9">
                  <c:v>1.64</c:v>
                </c:pt>
                <c:pt idx="10">
                  <c:v>1.65</c:v>
                </c:pt>
                <c:pt idx="11">
                  <c:v>1.62</c:v>
                </c:pt>
                <c:pt idx="12">
                  <c:v>1.59</c:v>
                </c:pt>
                <c:pt idx="13">
                  <c:v>1.605</c:v>
                </c:pt>
                <c:pt idx="14">
                  <c:v>1.605</c:v>
                </c:pt>
                <c:pt idx="15">
                  <c:v>1.53</c:v>
                </c:pt>
                <c:pt idx="16">
                  <c:v>1.585</c:v>
                </c:pt>
                <c:pt idx="17">
                  <c:v>1.5649999999999999</c:v>
                </c:pt>
                <c:pt idx="18">
                  <c:v>1.5549999999999999</c:v>
                </c:pt>
                <c:pt idx="19">
                  <c:v>1.6</c:v>
                </c:pt>
                <c:pt idx="20">
                  <c:v>1.625</c:v>
                </c:pt>
                <c:pt idx="21">
                  <c:v>1.605</c:v>
                </c:pt>
                <c:pt idx="22">
                  <c:v>1.6950000000000001</c:v>
                </c:pt>
                <c:pt idx="23">
                  <c:v>1.605</c:v>
                </c:pt>
                <c:pt idx="24">
                  <c:v>1.585</c:v>
                </c:pt>
                <c:pt idx="25">
                  <c:v>1.605</c:v>
                </c:pt>
                <c:pt idx="26">
                  <c:v>1.61</c:v>
                </c:pt>
                <c:pt idx="27">
                  <c:v>1.56</c:v>
                </c:pt>
                <c:pt idx="28">
                  <c:v>1.54</c:v>
                </c:pt>
                <c:pt idx="29">
                  <c:v>1.57</c:v>
                </c:pt>
                <c:pt idx="30">
                  <c:v>1.52</c:v>
                </c:pt>
                <c:pt idx="31">
                  <c:v>1.5049999999999999</c:v>
                </c:pt>
                <c:pt idx="32">
                  <c:v>1.5249999999999999</c:v>
                </c:pt>
                <c:pt idx="33">
                  <c:v>1.5249999999999999</c:v>
                </c:pt>
                <c:pt idx="34">
                  <c:v>1.54</c:v>
                </c:pt>
                <c:pt idx="35">
                  <c:v>1.5649999999999999</c:v>
                </c:pt>
                <c:pt idx="36">
                  <c:v>1.5549999999999999</c:v>
                </c:pt>
                <c:pt idx="37">
                  <c:v>1.56</c:v>
                </c:pt>
                <c:pt idx="38">
                  <c:v>1.61</c:v>
                </c:pt>
                <c:pt idx="39">
                  <c:v>1.57</c:v>
                </c:pt>
                <c:pt idx="40">
                  <c:v>1.575</c:v>
                </c:pt>
                <c:pt idx="41">
                  <c:v>1.53</c:v>
                </c:pt>
                <c:pt idx="42">
                  <c:v>1.58</c:v>
                </c:pt>
                <c:pt idx="43">
                  <c:v>1.7</c:v>
                </c:pt>
                <c:pt idx="44">
                  <c:v>1.825</c:v>
                </c:pt>
                <c:pt idx="45">
                  <c:v>1.855</c:v>
                </c:pt>
                <c:pt idx="46">
                  <c:v>1.917</c:v>
                </c:pt>
                <c:pt idx="47">
                  <c:v>1.86</c:v>
                </c:pt>
                <c:pt idx="48">
                  <c:v>1.87</c:v>
                </c:pt>
                <c:pt idx="49">
                  <c:v>1.895</c:v>
                </c:pt>
                <c:pt idx="50">
                  <c:v>1.89</c:v>
                </c:pt>
                <c:pt idx="51">
                  <c:v>1.895</c:v>
                </c:pt>
                <c:pt idx="52">
                  <c:v>1.92</c:v>
                </c:pt>
                <c:pt idx="53">
                  <c:v>1.865</c:v>
                </c:pt>
                <c:pt idx="54">
                  <c:v>1.885</c:v>
                </c:pt>
                <c:pt idx="55">
                  <c:v>1.88</c:v>
                </c:pt>
                <c:pt idx="56">
                  <c:v>1.92</c:v>
                </c:pt>
                <c:pt idx="57">
                  <c:v>1.8</c:v>
                </c:pt>
                <c:pt idx="58">
                  <c:v>1.8</c:v>
                </c:pt>
                <c:pt idx="59">
                  <c:v>1.76</c:v>
                </c:pt>
                <c:pt idx="60">
                  <c:v>1.8049999999999999</c:v>
                </c:pt>
                <c:pt idx="61">
                  <c:v>1.855</c:v>
                </c:pt>
                <c:pt idx="62">
                  <c:v>1.9350000000000001</c:v>
                </c:pt>
                <c:pt idx="63">
                  <c:v>1.905</c:v>
                </c:pt>
                <c:pt idx="64">
                  <c:v>1.91</c:v>
                </c:pt>
                <c:pt idx="65">
                  <c:v>1.855</c:v>
                </c:pt>
                <c:pt idx="66">
                  <c:v>1.9450000000000001</c:v>
                </c:pt>
                <c:pt idx="67">
                  <c:v>1.95</c:v>
                </c:pt>
                <c:pt idx="68">
                  <c:v>1.9450000000000001</c:v>
                </c:pt>
                <c:pt idx="69">
                  <c:v>1.915</c:v>
                </c:pt>
                <c:pt idx="70">
                  <c:v>1.9850000000000001</c:v>
                </c:pt>
                <c:pt idx="71">
                  <c:v>1.895</c:v>
                </c:pt>
                <c:pt idx="72">
                  <c:v>1.845</c:v>
                </c:pt>
                <c:pt idx="73">
                  <c:v>1.88</c:v>
                </c:pt>
                <c:pt idx="74">
                  <c:v>1.825</c:v>
                </c:pt>
                <c:pt idx="75">
                  <c:v>1.875</c:v>
                </c:pt>
                <c:pt idx="76">
                  <c:v>1.835</c:v>
                </c:pt>
                <c:pt idx="77">
                  <c:v>1.7450000000000001</c:v>
                </c:pt>
                <c:pt idx="78">
                  <c:v>1.7649999999999999</c:v>
                </c:pt>
                <c:pt idx="79">
                  <c:v>1.7549999999999999</c:v>
                </c:pt>
                <c:pt idx="80">
                  <c:v>1.77</c:v>
                </c:pt>
                <c:pt idx="81">
                  <c:v>1.76</c:v>
                </c:pt>
                <c:pt idx="82">
                  <c:v>1.68</c:v>
                </c:pt>
                <c:pt idx="83">
                  <c:v>1.7</c:v>
                </c:pt>
                <c:pt idx="84">
                  <c:v>1.7</c:v>
                </c:pt>
                <c:pt idx="85">
                  <c:v>1.71</c:v>
                </c:pt>
                <c:pt idx="86">
                  <c:v>1.79</c:v>
                </c:pt>
                <c:pt idx="87">
                  <c:v>1.7949999999999999</c:v>
                </c:pt>
                <c:pt idx="88">
                  <c:v>1.77</c:v>
                </c:pt>
                <c:pt idx="89">
                  <c:v>1.8149999999999999</c:v>
                </c:pt>
                <c:pt idx="90">
                  <c:v>1.825</c:v>
                </c:pt>
                <c:pt idx="91">
                  <c:v>1.845</c:v>
                </c:pt>
                <c:pt idx="92">
                  <c:v>1.8149999999999999</c:v>
                </c:pt>
                <c:pt idx="93">
                  <c:v>1.875</c:v>
                </c:pt>
                <c:pt idx="94">
                  <c:v>1.87</c:v>
                </c:pt>
                <c:pt idx="95">
                  <c:v>1.915</c:v>
                </c:pt>
                <c:pt idx="96">
                  <c:v>1.92</c:v>
                </c:pt>
                <c:pt idx="97">
                  <c:v>1.89</c:v>
                </c:pt>
                <c:pt idx="98">
                  <c:v>1.79</c:v>
                </c:pt>
                <c:pt idx="99">
                  <c:v>1.78</c:v>
                </c:pt>
                <c:pt idx="100">
                  <c:v>1.855</c:v>
                </c:pt>
                <c:pt idx="101">
                  <c:v>1.85</c:v>
                </c:pt>
                <c:pt idx="102">
                  <c:v>1.91</c:v>
                </c:pt>
                <c:pt idx="103">
                  <c:v>1.8</c:v>
                </c:pt>
                <c:pt idx="104">
                  <c:v>1.875</c:v>
                </c:pt>
                <c:pt idx="105">
                  <c:v>1.8149999999999999</c:v>
                </c:pt>
                <c:pt idx="106">
                  <c:v>1.82</c:v>
                </c:pt>
                <c:pt idx="107">
                  <c:v>1.83</c:v>
                </c:pt>
                <c:pt idx="108">
                  <c:v>1.92</c:v>
                </c:pt>
                <c:pt idx="109">
                  <c:v>1.99</c:v>
                </c:pt>
                <c:pt idx="110">
                  <c:v>1.8149999999999999</c:v>
                </c:pt>
                <c:pt idx="111">
                  <c:v>1.7949999999999999</c:v>
                </c:pt>
                <c:pt idx="112">
                  <c:v>1.78</c:v>
                </c:pt>
                <c:pt idx="113">
                  <c:v>1.7250000000000001</c:v>
                </c:pt>
                <c:pt idx="114">
                  <c:v>1.7649999999999999</c:v>
                </c:pt>
                <c:pt idx="115">
                  <c:v>1.7649999999999999</c:v>
                </c:pt>
                <c:pt idx="116">
                  <c:v>1.81</c:v>
                </c:pt>
                <c:pt idx="117">
                  <c:v>1.81</c:v>
                </c:pt>
                <c:pt idx="118">
                  <c:v>1.89</c:v>
                </c:pt>
                <c:pt idx="119">
                  <c:v>1.83</c:v>
                </c:pt>
                <c:pt idx="120">
                  <c:v>1.83</c:v>
                </c:pt>
                <c:pt idx="121">
                  <c:v>1.75</c:v>
                </c:pt>
                <c:pt idx="122">
                  <c:v>1.73</c:v>
                </c:pt>
                <c:pt idx="123">
                  <c:v>1.7549999999999999</c:v>
                </c:pt>
                <c:pt idx="124">
                  <c:v>1.7649999999999999</c:v>
                </c:pt>
                <c:pt idx="125">
                  <c:v>1.76</c:v>
                </c:pt>
                <c:pt idx="126">
                  <c:v>1.7949999999999999</c:v>
                </c:pt>
                <c:pt idx="127">
                  <c:v>1.865</c:v>
                </c:pt>
                <c:pt idx="128">
                  <c:v>1.895</c:v>
                </c:pt>
                <c:pt idx="129">
                  <c:v>1.88</c:v>
                </c:pt>
                <c:pt idx="130">
                  <c:v>1.895</c:v>
                </c:pt>
                <c:pt idx="131">
                  <c:v>1.88</c:v>
                </c:pt>
                <c:pt idx="132">
                  <c:v>1.9550000000000001</c:v>
                </c:pt>
                <c:pt idx="133">
                  <c:v>2.0699999999999998</c:v>
                </c:pt>
                <c:pt idx="134">
                  <c:v>2.12</c:v>
                </c:pt>
                <c:pt idx="135">
                  <c:v>2.15</c:v>
                </c:pt>
                <c:pt idx="136">
                  <c:v>2.16</c:v>
                </c:pt>
                <c:pt idx="137">
                  <c:v>2.15</c:v>
                </c:pt>
                <c:pt idx="138">
                  <c:v>2.15</c:v>
                </c:pt>
                <c:pt idx="139">
                  <c:v>2.17</c:v>
                </c:pt>
                <c:pt idx="140">
                  <c:v>2.12</c:v>
                </c:pt>
                <c:pt idx="141">
                  <c:v>2.17</c:v>
                </c:pt>
                <c:pt idx="142">
                  <c:v>2.12</c:v>
                </c:pt>
                <c:pt idx="143">
                  <c:v>2.0699999999999998</c:v>
                </c:pt>
                <c:pt idx="144">
                  <c:v>2.06</c:v>
                </c:pt>
                <c:pt idx="145">
                  <c:v>2.02</c:v>
                </c:pt>
                <c:pt idx="146">
                  <c:v>2.09</c:v>
                </c:pt>
                <c:pt idx="147">
                  <c:v>2.11</c:v>
                </c:pt>
                <c:pt idx="148">
                  <c:v>2.12</c:v>
                </c:pt>
                <c:pt idx="149">
                  <c:v>2.08</c:v>
                </c:pt>
                <c:pt idx="150">
                  <c:v>2.02</c:v>
                </c:pt>
                <c:pt idx="151">
                  <c:v>2.0299999999999998</c:v>
                </c:pt>
                <c:pt idx="152">
                  <c:v>1.9850000000000001</c:v>
                </c:pt>
                <c:pt idx="153">
                  <c:v>2.06</c:v>
                </c:pt>
                <c:pt idx="154">
                  <c:v>2.04</c:v>
                </c:pt>
                <c:pt idx="155">
                  <c:v>2.21</c:v>
                </c:pt>
                <c:pt idx="156">
                  <c:v>2.2000000000000002</c:v>
                </c:pt>
                <c:pt idx="157">
                  <c:v>2.1800000000000002</c:v>
                </c:pt>
                <c:pt idx="158">
                  <c:v>2.2000000000000002</c:v>
                </c:pt>
                <c:pt idx="159">
                  <c:v>2.17</c:v>
                </c:pt>
                <c:pt idx="160">
                  <c:v>2.1800000000000002</c:v>
                </c:pt>
                <c:pt idx="161">
                  <c:v>2.21</c:v>
                </c:pt>
                <c:pt idx="162">
                  <c:v>2.2200000000000002</c:v>
                </c:pt>
                <c:pt idx="163">
                  <c:v>2.2000000000000002</c:v>
                </c:pt>
                <c:pt idx="164">
                  <c:v>2.2000000000000002</c:v>
                </c:pt>
                <c:pt idx="165">
                  <c:v>2.19</c:v>
                </c:pt>
                <c:pt idx="166">
                  <c:v>2.19</c:v>
                </c:pt>
                <c:pt idx="167">
                  <c:v>2.14</c:v>
                </c:pt>
                <c:pt idx="168">
                  <c:v>2.27</c:v>
                </c:pt>
                <c:pt idx="169">
                  <c:v>2.2000000000000002</c:v>
                </c:pt>
                <c:pt idx="170">
                  <c:v>2.19</c:v>
                </c:pt>
                <c:pt idx="171">
                  <c:v>2.0699999999999998</c:v>
                </c:pt>
                <c:pt idx="172">
                  <c:v>2.14</c:v>
                </c:pt>
                <c:pt idx="173">
                  <c:v>2.1800000000000002</c:v>
                </c:pt>
                <c:pt idx="174">
                  <c:v>2.0699999999999998</c:v>
                </c:pt>
                <c:pt idx="175">
                  <c:v>2.11</c:v>
                </c:pt>
                <c:pt idx="176">
                  <c:v>2.11</c:v>
                </c:pt>
                <c:pt idx="177">
                  <c:v>2.15</c:v>
                </c:pt>
                <c:pt idx="178">
                  <c:v>2.2000000000000002</c:v>
                </c:pt>
                <c:pt idx="179">
                  <c:v>2.17</c:v>
                </c:pt>
                <c:pt idx="180">
                  <c:v>2.11</c:v>
                </c:pt>
                <c:pt idx="181">
                  <c:v>2.1</c:v>
                </c:pt>
                <c:pt idx="182">
                  <c:v>2.12</c:v>
                </c:pt>
                <c:pt idx="183">
                  <c:v>2.11</c:v>
                </c:pt>
                <c:pt idx="184">
                  <c:v>2.11</c:v>
                </c:pt>
                <c:pt idx="185">
                  <c:v>2.0699999999999998</c:v>
                </c:pt>
                <c:pt idx="186">
                  <c:v>2.1</c:v>
                </c:pt>
                <c:pt idx="187">
                  <c:v>2.15</c:v>
                </c:pt>
                <c:pt idx="188">
                  <c:v>2.15</c:v>
                </c:pt>
                <c:pt idx="189">
                  <c:v>2.06</c:v>
                </c:pt>
                <c:pt idx="190">
                  <c:v>2.04</c:v>
                </c:pt>
                <c:pt idx="191">
                  <c:v>2.09</c:v>
                </c:pt>
                <c:pt idx="192">
                  <c:v>2.02</c:v>
                </c:pt>
                <c:pt idx="193">
                  <c:v>2.04</c:v>
                </c:pt>
                <c:pt idx="194">
                  <c:v>2.02</c:v>
                </c:pt>
                <c:pt idx="195">
                  <c:v>2.0099999999999998</c:v>
                </c:pt>
                <c:pt idx="196">
                  <c:v>1.9950000000000001</c:v>
                </c:pt>
                <c:pt idx="197">
                  <c:v>2.0299999999999998</c:v>
                </c:pt>
                <c:pt idx="198">
                  <c:v>2.0699999999999998</c:v>
                </c:pt>
                <c:pt idx="199">
                  <c:v>2.0499999999999998</c:v>
                </c:pt>
                <c:pt idx="200">
                  <c:v>2.08</c:v>
                </c:pt>
                <c:pt idx="201">
                  <c:v>2.19</c:v>
                </c:pt>
                <c:pt idx="202">
                  <c:v>2.3199999999999998</c:v>
                </c:pt>
                <c:pt idx="203">
                  <c:v>2.2999999999999998</c:v>
                </c:pt>
                <c:pt idx="204">
                  <c:v>2.4700000000000002</c:v>
                </c:pt>
                <c:pt idx="205">
                  <c:v>2.4900000000000002</c:v>
                </c:pt>
                <c:pt idx="206">
                  <c:v>2.56</c:v>
                </c:pt>
                <c:pt idx="207">
                  <c:v>2.4900000000000002</c:v>
                </c:pt>
                <c:pt idx="208">
                  <c:v>2.5299999999999998</c:v>
                </c:pt>
                <c:pt idx="209">
                  <c:v>2.44</c:v>
                </c:pt>
                <c:pt idx="210">
                  <c:v>2.4700000000000002</c:v>
                </c:pt>
                <c:pt idx="211">
                  <c:v>2.44</c:v>
                </c:pt>
                <c:pt idx="212">
                  <c:v>2.4500000000000002</c:v>
                </c:pt>
                <c:pt idx="213">
                  <c:v>2.34</c:v>
                </c:pt>
                <c:pt idx="214">
                  <c:v>2.3199999999999998</c:v>
                </c:pt>
                <c:pt idx="215">
                  <c:v>2.2599999999999998</c:v>
                </c:pt>
                <c:pt idx="216">
                  <c:v>2.23</c:v>
                </c:pt>
                <c:pt idx="217">
                  <c:v>2.14</c:v>
                </c:pt>
                <c:pt idx="218">
                  <c:v>2.2400000000000002</c:v>
                </c:pt>
                <c:pt idx="219">
                  <c:v>2.33</c:v>
                </c:pt>
                <c:pt idx="220">
                  <c:v>2.2999999999999998</c:v>
                </c:pt>
                <c:pt idx="221">
                  <c:v>2.2999999999999998</c:v>
                </c:pt>
                <c:pt idx="222">
                  <c:v>2.23</c:v>
                </c:pt>
                <c:pt idx="223">
                  <c:v>2.27</c:v>
                </c:pt>
                <c:pt idx="224">
                  <c:v>2.31</c:v>
                </c:pt>
                <c:pt idx="225">
                  <c:v>2.42</c:v>
                </c:pt>
                <c:pt idx="226">
                  <c:v>2.4700000000000002</c:v>
                </c:pt>
                <c:pt idx="227">
                  <c:v>2.48</c:v>
                </c:pt>
                <c:pt idx="228">
                  <c:v>2.5</c:v>
                </c:pt>
                <c:pt idx="229">
                  <c:v>2.48</c:v>
                </c:pt>
                <c:pt idx="230">
                  <c:v>2.4300000000000002</c:v>
                </c:pt>
                <c:pt idx="231">
                  <c:v>2.52</c:v>
                </c:pt>
                <c:pt idx="232">
                  <c:v>2.52</c:v>
                </c:pt>
                <c:pt idx="233">
                  <c:v>2.5299999999999998</c:v>
                </c:pt>
                <c:pt idx="234">
                  <c:v>2.4900000000000002</c:v>
                </c:pt>
                <c:pt idx="235">
                  <c:v>2.4300000000000002</c:v>
                </c:pt>
                <c:pt idx="236">
                  <c:v>2.41</c:v>
                </c:pt>
                <c:pt idx="237">
                  <c:v>2.63</c:v>
                </c:pt>
                <c:pt idx="238">
                  <c:v>2.62</c:v>
                </c:pt>
                <c:pt idx="239">
                  <c:v>2.67</c:v>
                </c:pt>
                <c:pt idx="240">
                  <c:v>2.74</c:v>
                </c:pt>
                <c:pt idx="241">
                  <c:v>2.77</c:v>
                </c:pt>
                <c:pt idx="242">
                  <c:v>2.74</c:v>
                </c:pt>
                <c:pt idx="243">
                  <c:v>2.71</c:v>
                </c:pt>
                <c:pt idx="244">
                  <c:v>2.61</c:v>
                </c:pt>
                <c:pt idx="245">
                  <c:v>2.63</c:v>
                </c:pt>
                <c:pt idx="246">
                  <c:v>2.59</c:v>
                </c:pt>
                <c:pt idx="247">
                  <c:v>2.54</c:v>
                </c:pt>
                <c:pt idx="248">
                  <c:v>2.5</c:v>
                </c:pt>
                <c:pt idx="249">
                  <c:v>2.54</c:v>
                </c:pt>
                <c:pt idx="250">
                  <c:v>2.5299999999999998</c:v>
                </c:pt>
                <c:pt idx="251">
                  <c:v>2.5499999999999998</c:v>
                </c:pt>
                <c:pt idx="252">
                  <c:v>2.52</c:v>
                </c:pt>
                <c:pt idx="25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96C-9246-9913-55772E5D5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72519968"/>
        <c:axId val="685098975"/>
      </c:stockChart>
      <c:catAx>
        <c:axId val="872519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098975"/>
        <c:crosses val="autoZero"/>
        <c:auto val="1"/>
        <c:lblAlgn val="ctr"/>
        <c:lblOffset val="100"/>
        <c:noMultiLvlLbl val="0"/>
      </c:catAx>
      <c:valAx>
        <c:axId val="68509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519968"/>
        <c:crosses val="autoZero"/>
        <c:crossBetween val="between"/>
      </c:valAx>
      <c:spPr>
        <a:solidFill>
          <a:sysClr val="window" lastClr="FFFFFF"/>
        </a:solidFill>
        <a:ln>
          <a:solidFill>
            <a:sysClr val="windowText" lastClr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 Stock Movement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tockChart>
        <c:ser>
          <c:idx val="0"/>
          <c:order val="0"/>
          <c:tx>
            <c:strRef>
              <c:f>'stock price'!$B$1</c:f>
              <c:strCache>
                <c:ptCount val="1"/>
                <c:pt idx="0">
                  <c:v> Open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ash"/>
            <c:size val="4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price'!$B$2:$B$255</c:f>
              <c:numCache>
                <c:formatCode>_("$"* #,##0.00_);_("$"* \(#,##0.00\);_("$"* "-"??_);_(@_)</c:formatCode>
                <c:ptCount val="254"/>
                <c:pt idx="0">
                  <c:v>1.7749999999999999</c:v>
                </c:pt>
                <c:pt idx="1">
                  <c:v>1.7050000000000001</c:v>
                </c:pt>
                <c:pt idx="2">
                  <c:v>1.66</c:v>
                </c:pt>
                <c:pt idx="3">
                  <c:v>1.645</c:v>
                </c:pt>
                <c:pt idx="4">
                  <c:v>1.615</c:v>
                </c:pt>
                <c:pt idx="5">
                  <c:v>1.64</c:v>
                </c:pt>
                <c:pt idx="6">
                  <c:v>1.6</c:v>
                </c:pt>
                <c:pt idx="7">
                  <c:v>1.585</c:v>
                </c:pt>
                <c:pt idx="8">
                  <c:v>1.6</c:v>
                </c:pt>
                <c:pt idx="9">
                  <c:v>1.635</c:v>
                </c:pt>
                <c:pt idx="10">
                  <c:v>1.63</c:v>
                </c:pt>
                <c:pt idx="11">
                  <c:v>1.6</c:v>
                </c:pt>
                <c:pt idx="12">
                  <c:v>1.58</c:v>
                </c:pt>
                <c:pt idx="13">
                  <c:v>1.62</c:v>
                </c:pt>
                <c:pt idx="14">
                  <c:v>1.61</c:v>
                </c:pt>
                <c:pt idx="15">
                  <c:v>1.61</c:v>
                </c:pt>
                <c:pt idx="16">
                  <c:v>1.54</c:v>
                </c:pt>
                <c:pt idx="17">
                  <c:v>1.585</c:v>
                </c:pt>
                <c:pt idx="18">
                  <c:v>1.5449999999999999</c:v>
                </c:pt>
                <c:pt idx="19">
                  <c:v>1.5649999999999999</c:v>
                </c:pt>
                <c:pt idx="20">
                  <c:v>1.59</c:v>
                </c:pt>
                <c:pt idx="21">
                  <c:v>1.6</c:v>
                </c:pt>
                <c:pt idx="22">
                  <c:v>1.66</c:v>
                </c:pt>
                <c:pt idx="23">
                  <c:v>1.645</c:v>
                </c:pt>
                <c:pt idx="24">
                  <c:v>1.6</c:v>
                </c:pt>
                <c:pt idx="25">
                  <c:v>1.6</c:v>
                </c:pt>
                <c:pt idx="26">
                  <c:v>1.605</c:v>
                </c:pt>
                <c:pt idx="27">
                  <c:v>1.6</c:v>
                </c:pt>
                <c:pt idx="28">
                  <c:v>1.585</c:v>
                </c:pt>
                <c:pt idx="29">
                  <c:v>1.5649999999999999</c:v>
                </c:pt>
                <c:pt idx="30">
                  <c:v>1.51</c:v>
                </c:pt>
                <c:pt idx="31">
                  <c:v>1.5149999999999999</c:v>
                </c:pt>
                <c:pt idx="32">
                  <c:v>1.55</c:v>
                </c:pt>
                <c:pt idx="33">
                  <c:v>1.5249999999999999</c:v>
                </c:pt>
                <c:pt idx="34">
                  <c:v>1.53</c:v>
                </c:pt>
                <c:pt idx="35">
                  <c:v>1.5549999999999999</c:v>
                </c:pt>
                <c:pt idx="36">
                  <c:v>1.55</c:v>
                </c:pt>
                <c:pt idx="37">
                  <c:v>1.54</c:v>
                </c:pt>
                <c:pt idx="38">
                  <c:v>1.59</c:v>
                </c:pt>
                <c:pt idx="39">
                  <c:v>1.59</c:v>
                </c:pt>
                <c:pt idx="40">
                  <c:v>1.59</c:v>
                </c:pt>
                <c:pt idx="41">
                  <c:v>1.57</c:v>
                </c:pt>
                <c:pt idx="42">
                  <c:v>1.5449999999999999</c:v>
                </c:pt>
                <c:pt idx="43">
                  <c:v>1.625</c:v>
                </c:pt>
                <c:pt idx="44">
                  <c:v>1.7450000000000001</c:v>
                </c:pt>
                <c:pt idx="45">
                  <c:v>1.82</c:v>
                </c:pt>
                <c:pt idx="46">
                  <c:v>1.875</c:v>
                </c:pt>
                <c:pt idx="47">
                  <c:v>1.915</c:v>
                </c:pt>
                <c:pt idx="48">
                  <c:v>1.88</c:v>
                </c:pt>
                <c:pt idx="49">
                  <c:v>1.885</c:v>
                </c:pt>
                <c:pt idx="50">
                  <c:v>1.89</c:v>
                </c:pt>
                <c:pt idx="51">
                  <c:v>1.915</c:v>
                </c:pt>
                <c:pt idx="52">
                  <c:v>1.89</c:v>
                </c:pt>
                <c:pt idx="53">
                  <c:v>1.91</c:v>
                </c:pt>
                <c:pt idx="54">
                  <c:v>1.895</c:v>
                </c:pt>
                <c:pt idx="55">
                  <c:v>1.885</c:v>
                </c:pt>
                <c:pt idx="56">
                  <c:v>1.94</c:v>
                </c:pt>
                <c:pt idx="57">
                  <c:v>1.82</c:v>
                </c:pt>
                <c:pt idx="58">
                  <c:v>1.81</c:v>
                </c:pt>
                <c:pt idx="59">
                  <c:v>1.845</c:v>
                </c:pt>
                <c:pt idx="60">
                  <c:v>1.77</c:v>
                </c:pt>
                <c:pt idx="61">
                  <c:v>1.83</c:v>
                </c:pt>
                <c:pt idx="62">
                  <c:v>1.9</c:v>
                </c:pt>
                <c:pt idx="63">
                  <c:v>1.95</c:v>
                </c:pt>
                <c:pt idx="64">
                  <c:v>1.9350000000000001</c:v>
                </c:pt>
                <c:pt idx="65">
                  <c:v>1.89</c:v>
                </c:pt>
                <c:pt idx="66">
                  <c:v>1.9</c:v>
                </c:pt>
                <c:pt idx="67">
                  <c:v>1.97</c:v>
                </c:pt>
                <c:pt idx="68">
                  <c:v>1.9350000000000001</c:v>
                </c:pt>
                <c:pt idx="69">
                  <c:v>1.89</c:v>
                </c:pt>
                <c:pt idx="70">
                  <c:v>1.9450000000000001</c:v>
                </c:pt>
                <c:pt idx="71">
                  <c:v>1.9350000000000001</c:v>
                </c:pt>
                <c:pt idx="72">
                  <c:v>1.87</c:v>
                </c:pt>
                <c:pt idx="73">
                  <c:v>1.855</c:v>
                </c:pt>
                <c:pt idx="74">
                  <c:v>1.87</c:v>
                </c:pt>
                <c:pt idx="75">
                  <c:v>1.81</c:v>
                </c:pt>
                <c:pt idx="76">
                  <c:v>1.895</c:v>
                </c:pt>
                <c:pt idx="77">
                  <c:v>1.77</c:v>
                </c:pt>
                <c:pt idx="78">
                  <c:v>1.77</c:v>
                </c:pt>
                <c:pt idx="79">
                  <c:v>1.77</c:v>
                </c:pt>
                <c:pt idx="80">
                  <c:v>1.7649999999999999</c:v>
                </c:pt>
                <c:pt idx="81">
                  <c:v>1.81</c:v>
                </c:pt>
                <c:pt idx="82">
                  <c:v>1.6950000000000001</c:v>
                </c:pt>
                <c:pt idx="83">
                  <c:v>1.7</c:v>
                </c:pt>
                <c:pt idx="84">
                  <c:v>1.7050000000000001</c:v>
                </c:pt>
                <c:pt idx="85">
                  <c:v>1.7</c:v>
                </c:pt>
                <c:pt idx="86">
                  <c:v>1.7450000000000001</c:v>
                </c:pt>
                <c:pt idx="87">
                  <c:v>1.7949999999999999</c:v>
                </c:pt>
                <c:pt idx="88">
                  <c:v>1.7849999999999999</c:v>
                </c:pt>
                <c:pt idx="89">
                  <c:v>1.82</c:v>
                </c:pt>
                <c:pt idx="90">
                  <c:v>1.82</c:v>
                </c:pt>
                <c:pt idx="91">
                  <c:v>1.82</c:v>
                </c:pt>
                <c:pt idx="92">
                  <c:v>1.87</c:v>
                </c:pt>
                <c:pt idx="93">
                  <c:v>1.85</c:v>
                </c:pt>
                <c:pt idx="94">
                  <c:v>1.855</c:v>
                </c:pt>
                <c:pt idx="95">
                  <c:v>1.9</c:v>
                </c:pt>
                <c:pt idx="96">
                  <c:v>1.915</c:v>
                </c:pt>
                <c:pt idx="97">
                  <c:v>1.92</c:v>
                </c:pt>
                <c:pt idx="98">
                  <c:v>1.845</c:v>
                </c:pt>
                <c:pt idx="99">
                  <c:v>1.77</c:v>
                </c:pt>
                <c:pt idx="100">
                  <c:v>1.8</c:v>
                </c:pt>
                <c:pt idx="101">
                  <c:v>1.88</c:v>
                </c:pt>
                <c:pt idx="102">
                  <c:v>1.84</c:v>
                </c:pt>
                <c:pt idx="103">
                  <c:v>1.9</c:v>
                </c:pt>
                <c:pt idx="104">
                  <c:v>1.82</c:v>
                </c:pt>
                <c:pt idx="105">
                  <c:v>1.85</c:v>
                </c:pt>
                <c:pt idx="106">
                  <c:v>1.84</c:v>
                </c:pt>
                <c:pt idx="107">
                  <c:v>1.825</c:v>
                </c:pt>
                <c:pt idx="108">
                  <c:v>1.885</c:v>
                </c:pt>
                <c:pt idx="109">
                  <c:v>1.9650000000000001</c:v>
                </c:pt>
                <c:pt idx="110">
                  <c:v>1.87</c:v>
                </c:pt>
                <c:pt idx="111">
                  <c:v>1.85</c:v>
                </c:pt>
                <c:pt idx="112">
                  <c:v>1.825</c:v>
                </c:pt>
                <c:pt idx="113">
                  <c:v>1.7649999999999999</c:v>
                </c:pt>
                <c:pt idx="114">
                  <c:v>1.74</c:v>
                </c:pt>
                <c:pt idx="115">
                  <c:v>1.78</c:v>
                </c:pt>
                <c:pt idx="116">
                  <c:v>1.8049999999999999</c:v>
                </c:pt>
                <c:pt idx="117">
                  <c:v>1.81</c:v>
                </c:pt>
                <c:pt idx="118">
                  <c:v>1.875</c:v>
                </c:pt>
                <c:pt idx="119">
                  <c:v>1.845</c:v>
                </c:pt>
                <c:pt idx="120">
                  <c:v>1.855</c:v>
                </c:pt>
                <c:pt idx="121">
                  <c:v>1.8049999999999999</c:v>
                </c:pt>
                <c:pt idx="122">
                  <c:v>1.7250000000000001</c:v>
                </c:pt>
                <c:pt idx="123">
                  <c:v>1.74</c:v>
                </c:pt>
                <c:pt idx="124">
                  <c:v>1.74</c:v>
                </c:pt>
                <c:pt idx="125">
                  <c:v>1.7549999999999999</c:v>
                </c:pt>
                <c:pt idx="126">
                  <c:v>1.77</c:v>
                </c:pt>
                <c:pt idx="127">
                  <c:v>1.84</c:v>
                </c:pt>
                <c:pt idx="128">
                  <c:v>1.865</c:v>
                </c:pt>
                <c:pt idx="129">
                  <c:v>1.925</c:v>
                </c:pt>
                <c:pt idx="130">
                  <c:v>1.87</c:v>
                </c:pt>
                <c:pt idx="131">
                  <c:v>1.885</c:v>
                </c:pt>
                <c:pt idx="132">
                  <c:v>1.91</c:v>
                </c:pt>
                <c:pt idx="133">
                  <c:v>1.99</c:v>
                </c:pt>
                <c:pt idx="134">
                  <c:v>2.09</c:v>
                </c:pt>
                <c:pt idx="135">
                  <c:v>2.15</c:v>
                </c:pt>
                <c:pt idx="136">
                  <c:v>2.19</c:v>
                </c:pt>
                <c:pt idx="137">
                  <c:v>2.14</c:v>
                </c:pt>
                <c:pt idx="138">
                  <c:v>2.09</c:v>
                </c:pt>
                <c:pt idx="139">
                  <c:v>2.15</c:v>
                </c:pt>
                <c:pt idx="140">
                  <c:v>2.19</c:v>
                </c:pt>
                <c:pt idx="141">
                  <c:v>2.13</c:v>
                </c:pt>
                <c:pt idx="142">
                  <c:v>2.11</c:v>
                </c:pt>
                <c:pt idx="143">
                  <c:v>2.12</c:v>
                </c:pt>
                <c:pt idx="144">
                  <c:v>2.11</c:v>
                </c:pt>
                <c:pt idx="145">
                  <c:v>2.0299999999999998</c:v>
                </c:pt>
                <c:pt idx="146">
                  <c:v>2.06</c:v>
                </c:pt>
                <c:pt idx="147">
                  <c:v>2.12</c:v>
                </c:pt>
                <c:pt idx="148">
                  <c:v>2.0499999999999998</c:v>
                </c:pt>
                <c:pt idx="149">
                  <c:v>2.0699999999999998</c:v>
                </c:pt>
                <c:pt idx="150">
                  <c:v>2.0299999999999998</c:v>
                </c:pt>
                <c:pt idx="151">
                  <c:v>2.02</c:v>
                </c:pt>
                <c:pt idx="152">
                  <c:v>2.0099999999999998</c:v>
                </c:pt>
                <c:pt idx="153">
                  <c:v>2.06</c:v>
                </c:pt>
                <c:pt idx="154">
                  <c:v>2.08</c:v>
                </c:pt>
                <c:pt idx="155">
                  <c:v>2.11</c:v>
                </c:pt>
                <c:pt idx="156">
                  <c:v>2.23</c:v>
                </c:pt>
                <c:pt idx="157">
                  <c:v>2.2000000000000002</c:v>
                </c:pt>
                <c:pt idx="158">
                  <c:v>2.23</c:v>
                </c:pt>
                <c:pt idx="159">
                  <c:v>2.2400000000000002</c:v>
                </c:pt>
                <c:pt idx="160">
                  <c:v>2.21</c:v>
                </c:pt>
                <c:pt idx="161">
                  <c:v>2.19</c:v>
                </c:pt>
                <c:pt idx="162">
                  <c:v>2.23</c:v>
                </c:pt>
                <c:pt idx="163">
                  <c:v>2.21</c:v>
                </c:pt>
                <c:pt idx="164">
                  <c:v>2.2400000000000002</c:v>
                </c:pt>
                <c:pt idx="165">
                  <c:v>2.19</c:v>
                </c:pt>
                <c:pt idx="166">
                  <c:v>2.2000000000000002</c:v>
                </c:pt>
                <c:pt idx="167">
                  <c:v>2.15</c:v>
                </c:pt>
                <c:pt idx="168">
                  <c:v>2.16</c:v>
                </c:pt>
                <c:pt idx="169">
                  <c:v>2.21</c:v>
                </c:pt>
                <c:pt idx="170">
                  <c:v>2.2000000000000002</c:v>
                </c:pt>
                <c:pt idx="171">
                  <c:v>2.13</c:v>
                </c:pt>
                <c:pt idx="172">
                  <c:v>2.09</c:v>
                </c:pt>
                <c:pt idx="173">
                  <c:v>2.15</c:v>
                </c:pt>
                <c:pt idx="174">
                  <c:v>2.14</c:v>
                </c:pt>
                <c:pt idx="175">
                  <c:v>2.09</c:v>
                </c:pt>
                <c:pt idx="176">
                  <c:v>2.14</c:v>
                </c:pt>
                <c:pt idx="177">
                  <c:v>2.14</c:v>
                </c:pt>
                <c:pt idx="178">
                  <c:v>2.23</c:v>
                </c:pt>
                <c:pt idx="179">
                  <c:v>2.21</c:v>
                </c:pt>
                <c:pt idx="180">
                  <c:v>2.19</c:v>
                </c:pt>
                <c:pt idx="181">
                  <c:v>2.08</c:v>
                </c:pt>
                <c:pt idx="182">
                  <c:v>2.1</c:v>
                </c:pt>
                <c:pt idx="183">
                  <c:v>2.14</c:v>
                </c:pt>
                <c:pt idx="184">
                  <c:v>2.11</c:v>
                </c:pt>
                <c:pt idx="185">
                  <c:v>2.0699999999999998</c:v>
                </c:pt>
                <c:pt idx="186">
                  <c:v>2.14</c:v>
                </c:pt>
                <c:pt idx="187">
                  <c:v>2.13</c:v>
                </c:pt>
                <c:pt idx="188">
                  <c:v>2.11</c:v>
                </c:pt>
                <c:pt idx="189">
                  <c:v>2.14</c:v>
                </c:pt>
                <c:pt idx="190">
                  <c:v>2.04</c:v>
                </c:pt>
                <c:pt idx="191">
                  <c:v>2.08</c:v>
                </c:pt>
                <c:pt idx="192">
                  <c:v>2.08</c:v>
                </c:pt>
                <c:pt idx="193">
                  <c:v>2.02</c:v>
                </c:pt>
                <c:pt idx="194">
                  <c:v>2.04</c:v>
                </c:pt>
                <c:pt idx="195">
                  <c:v>1.9950000000000001</c:v>
                </c:pt>
                <c:pt idx="196">
                  <c:v>1.98</c:v>
                </c:pt>
                <c:pt idx="197">
                  <c:v>2.02</c:v>
                </c:pt>
                <c:pt idx="198">
                  <c:v>2.0499999999999998</c:v>
                </c:pt>
                <c:pt idx="199">
                  <c:v>2.09</c:v>
                </c:pt>
                <c:pt idx="200">
                  <c:v>2.08</c:v>
                </c:pt>
                <c:pt idx="201">
                  <c:v>2.12</c:v>
                </c:pt>
                <c:pt idx="202">
                  <c:v>2.2400000000000002</c:v>
                </c:pt>
                <c:pt idx="203">
                  <c:v>2.2999999999999998</c:v>
                </c:pt>
                <c:pt idx="204">
                  <c:v>2.4</c:v>
                </c:pt>
                <c:pt idx="205">
                  <c:v>2.4300000000000002</c:v>
                </c:pt>
                <c:pt idx="206">
                  <c:v>2.4700000000000002</c:v>
                </c:pt>
                <c:pt idx="207">
                  <c:v>2.4900000000000002</c:v>
                </c:pt>
                <c:pt idx="208">
                  <c:v>2.4700000000000002</c:v>
                </c:pt>
                <c:pt idx="209">
                  <c:v>2.5</c:v>
                </c:pt>
                <c:pt idx="210">
                  <c:v>2.46</c:v>
                </c:pt>
                <c:pt idx="211">
                  <c:v>2.5</c:v>
                </c:pt>
                <c:pt idx="212">
                  <c:v>2.4</c:v>
                </c:pt>
                <c:pt idx="213">
                  <c:v>2.4</c:v>
                </c:pt>
                <c:pt idx="214">
                  <c:v>2.34</c:v>
                </c:pt>
                <c:pt idx="215">
                  <c:v>2.2999999999999998</c:v>
                </c:pt>
                <c:pt idx="216">
                  <c:v>2.2599999999999998</c:v>
                </c:pt>
                <c:pt idx="217">
                  <c:v>2.17</c:v>
                </c:pt>
                <c:pt idx="218">
                  <c:v>2.19</c:v>
                </c:pt>
                <c:pt idx="219">
                  <c:v>2.23</c:v>
                </c:pt>
                <c:pt idx="220">
                  <c:v>2.2400000000000002</c:v>
                </c:pt>
                <c:pt idx="221">
                  <c:v>2.2799999999999998</c:v>
                </c:pt>
                <c:pt idx="222">
                  <c:v>2.2799999999999998</c:v>
                </c:pt>
                <c:pt idx="223">
                  <c:v>2.2999999999999998</c:v>
                </c:pt>
                <c:pt idx="224">
                  <c:v>2.27</c:v>
                </c:pt>
                <c:pt idx="225">
                  <c:v>2.34</c:v>
                </c:pt>
                <c:pt idx="226">
                  <c:v>2.46</c:v>
                </c:pt>
                <c:pt idx="227">
                  <c:v>2.5</c:v>
                </c:pt>
                <c:pt idx="228">
                  <c:v>2.5</c:v>
                </c:pt>
                <c:pt idx="229">
                  <c:v>2.5299999999999998</c:v>
                </c:pt>
                <c:pt idx="230">
                  <c:v>2.44</c:v>
                </c:pt>
                <c:pt idx="231">
                  <c:v>2.5099999999999998</c:v>
                </c:pt>
                <c:pt idx="232">
                  <c:v>2.54</c:v>
                </c:pt>
                <c:pt idx="233">
                  <c:v>2.52</c:v>
                </c:pt>
                <c:pt idx="234">
                  <c:v>2.5299999999999998</c:v>
                </c:pt>
                <c:pt idx="235">
                  <c:v>2.4900000000000002</c:v>
                </c:pt>
                <c:pt idx="236">
                  <c:v>2.44</c:v>
                </c:pt>
                <c:pt idx="237">
                  <c:v>2.4900000000000002</c:v>
                </c:pt>
                <c:pt idx="238">
                  <c:v>2.61</c:v>
                </c:pt>
                <c:pt idx="239">
                  <c:v>2.59</c:v>
                </c:pt>
                <c:pt idx="240">
                  <c:v>2.75</c:v>
                </c:pt>
                <c:pt idx="241">
                  <c:v>2.76</c:v>
                </c:pt>
                <c:pt idx="242">
                  <c:v>2.85</c:v>
                </c:pt>
                <c:pt idx="243">
                  <c:v>2.73</c:v>
                </c:pt>
                <c:pt idx="244">
                  <c:v>2.66</c:v>
                </c:pt>
                <c:pt idx="245">
                  <c:v>2.58</c:v>
                </c:pt>
                <c:pt idx="246">
                  <c:v>2.64</c:v>
                </c:pt>
                <c:pt idx="247">
                  <c:v>2.4900000000000002</c:v>
                </c:pt>
                <c:pt idx="248">
                  <c:v>2.5</c:v>
                </c:pt>
                <c:pt idx="249">
                  <c:v>2.5099999999999998</c:v>
                </c:pt>
                <c:pt idx="250">
                  <c:v>2.54</c:v>
                </c:pt>
                <c:pt idx="251">
                  <c:v>2.5299999999999998</c:v>
                </c:pt>
                <c:pt idx="252">
                  <c:v>2.52</c:v>
                </c:pt>
                <c:pt idx="25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4-594A-A469-811AD1F26765}"/>
            </c:ext>
          </c:extLst>
        </c:ser>
        <c:ser>
          <c:idx val="1"/>
          <c:order val="1"/>
          <c:tx>
            <c:strRef>
              <c:f>'stock price'!$C$1</c:f>
              <c:strCache>
                <c:ptCount val="1"/>
                <c:pt idx="0">
                  <c:v> High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square"/>
            <c:size val="2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price'!$C$2:$C$255</c:f>
              <c:numCache>
                <c:formatCode>_("$"* #,##0.00_);_("$"* \(#,##0.00\);_("$"* "-"??_);_(@_)</c:formatCode>
                <c:ptCount val="254"/>
                <c:pt idx="0">
                  <c:v>1.778</c:v>
                </c:pt>
                <c:pt idx="1">
                  <c:v>1.72</c:v>
                </c:pt>
                <c:pt idx="2">
                  <c:v>1.677</c:v>
                </c:pt>
                <c:pt idx="3">
                  <c:v>1.655</c:v>
                </c:pt>
                <c:pt idx="4">
                  <c:v>1.63</c:v>
                </c:pt>
                <c:pt idx="5">
                  <c:v>1.655</c:v>
                </c:pt>
                <c:pt idx="6">
                  <c:v>1.61</c:v>
                </c:pt>
                <c:pt idx="7">
                  <c:v>1.625</c:v>
                </c:pt>
                <c:pt idx="8">
                  <c:v>1.625</c:v>
                </c:pt>
                <c:pt idx="9">
                  <c:v>1.655</c:v>
                </c:pt>
                <c:pt idx="10">
                  <c:v>1.665</c:v>
                </c:pt>
                <c:pt idx="11">
                  <c:v>1.623</c:v>
                </c:pt>
                <c:pt idx="12">
                  <c:v>1.617</c:v>
                </c:pt>
                <c:pt idx="13">
                  <c:v>1.633</c:v>
                </c:pt>
                <c:pt idx="14">
                  <c:v>1.625</c:v>
                </c:pt>
                <c:pt idx="15">
                  <c:v>1.61</c:v>
                </c:pt>
                <c:pt idx="16">
                  <c:v>1.62</c:v>
                </c:pt>
                <c:pt idx="17">
                  <c:v>1.593</c:v>
                </c:pt>
                <c:pt idx="18">
                  <c:v>1.5649999999999999</c:v>
                </c:pt>
                <c:pt idx="19">
                  <c:v>1.613</c:v>
                </c:pt>
                <c:pt idx="20">
                  <c:v>1.635</c:v>
                </c:pt>
                <c:pt idx="21">
                  <c:v>1.61</c:v>
                </c:pt>
                <c:pt idx="22">
                  <c:v>1.74</c:v>
                </c:pt>
                <c:pt idx="23">
                  <c:v>1.65</c:v>
                </c:pt>
                <c:pt idx="24">
                  <c:v>1.62</c:v>
                </c:pt>
                <c:pt idx="25">
                  <c:v>1.607</c:v>
                </c:pt>
                <c:pt idx="26">
                  <c:v>1.65</c:v>
                </c:pt>
                <c:pt idx="27">
                  <c:v>1.605</c:v>
                </c:pt>
                <c:pt idx="28">
                  <c:v>1.585</c:v>
                </c:pt>
                <c:pt idx="29">
                  <c:v>1.605</c:v>
                </c:pt>
                <c:pt idx="30">
                  <c:v>1.532</c:v>
                </c:pt>
                <c:pt idx="31">
                  <c:v>1.54</c:v>
                </c:pt>
                <c:pt idx="32">
                  <c:v>1.57</c:v>
                </c:pt>
                <c:pt idx="33">
                  <c:v>1.53</c:v>
                </c:pt>
                <c:pt idx="34">
                  <c:v>1.542</c:v>
                </c:pt>
                <c:pt idx="35">
                  <c:v>1.595</c:v>
                </c:pt>
                <c:pt idx="36">
                  <c:v>1.57</c:v>
                </c:pt>
                <c:pt idx="37">
                  <c:v>1.5649999999999999</c:v>
                </c:pt>
                <c:pt idx="38">
                  <c:v>1.625</c:v>
                </c:pt>
                <c:pt idx="39">
                  <c:v>1.6</c:v>
                </c:pt>
                <c:pt idx="40">
                  <c:v>1.615</c:v>
                </c:pt>
                <c:pt idx="41">
                  <c:v>1.57</c:v>
                </c:pt>
                <c:pt idx="42">
                  <c:v>1.58</c:v>
                </c:pt>
                <c:pt idx="43">
                  <c:v>1.72</c:v>
                </c:pt>
                <c:pt idx="44">
                  <c:v>1.84</c:v>
                </c:pt>
                <c:pt idx="45">
                  <c:v>1.865</c:v>
                </c:pt>
                <c:pt idx="46">
                  <c:v>1.9850000000000001</c:v>
                </c:pt>
                <c:pt idx="47">
                  <c:v>1.92</c:v>
                </c:pt>
                <c:pt idx="48">
                  <c:v>1.905</c:v>
                </c:pt>
                <c:pt idx="49">
                  <c:v>1.915</c:v>
                </c:pt>
                <c:pt idx="50">
                  <c:v>1.91</c:v>
                </c:pt>
                <c:pt idx="51">
                  <c:v>1.95</c:v>
                </c:pt>
                <c:pt idx="52">
                  <c:v>1.96</c:v>
                </c:pt>
                <c:pt idx="53">
                  <c:v>1.92</c:v>
                </c:pt>
                <c:pt idx="54">
                  <c:v>1.895</c:v>
                </c:pt>
                <c:pt idx="55">
                  <c:v>1.885</c:v>
                </c:pt>
                <c:pt idx="56">
                  <c:v>1.98</c:v>
                </c:pt>
                <c:pt idx="57">
                  <c:v>1.835</c:v>
                </c:pt>
                <c:pt idx="58">
                  <c:v>1.83</c:v>
                </c:pt>
                <c:pt idx="59">
                  <c:v>1.853</c:v>
                </c:pt>
                <c:pt idx="60">
                  <c:v>1.8049999999999999</c:v>
                </c:pt>
                <c:pt idx="61">
                  <c:v>1.89</c:v>
                </c:pt>
                <c:pt idx="62">
                  <c:v>1.95</c:v>
                </c:pt>
                <c:pt idx="63">
                  <c:v>1.96</c:v>
                </c:pt>
                <c:pt idx="64">
                  <c:v>1.9450000000000001</c:v>
                </c:pt>
                <c:pt idx="65">
                  <c:v>1.89</c:v>
                </c:pt>
                <c:pt idx="66">
                  <c:v>1.958</c:v>
                </c:pt>
                <c:pt idx="67">
                  <c:v>1.97</c:v>
                </c:pt>
                <c:pt idx="68">
                  <c:v>1.9450000000000001</c:v>
                </c:pt>
                <c:pt idx="69">
                  <c:v>1.9450000000000001</c:v>
                </c:pt>
                <c:pt idx="70">
                  <c:v>2.0099999999999998</c:v>
                </c:pt>
                <c:pt idx="71">
                  <c:v>1.9550000000000001</c:v>
                </c:pt>
                <c:pt idx="72">
                  <c:v>1.895</c:v>
                </c:pt>
                <c:pt idx="73">
                  <c:v>1.895</c:v>
                </c:pt>
                <c:pt idx="74">
                  <c:v>1.9</c:v>
                </c:pt>
                <c:pt idx="75">
                  <c:v>1.89</c:v>
                </c:pt>
                <c:pt idx="76">
                  <c:v>1.905</c:v>
                </c:pt>
                <c:pt idx="77">
                  <c:v>1.7849999999999999</c:v>
                </c:pt>
                <c:pt idx="78">
                  <c:v>1.792</c:v>
                </c:pt>
                <c:pt idx="79">
                  <c:v>1.8</c:v>
                </c:pt>
                <c:pt idx="80">
                  <c:v>1.79</c:v>
                </c:pt>
                <c:pt idx="81">
                  <c:v>1.825</c:v>
                </c:pt>
                <c:pt idx="82">
                  <c:v>1.7050000000000001</c:v>
                </c:pt>
                <c:pt idx="83">
                  <c:v>1.738</c:v>
                </c:pt>
                <c:pt idx="84">
                  <c:v>1.7150000000000001</c:v>
                </c:pt>
                <c:pt idx="85">
                  <c:v>1.74</c:v>
                </c:pt>
                <c:pt idx="86">
                  <c:v>1.7949999999999999</c:v>
                </c:pt>
                <c:pt idx="87">
                  <c:v>1.8049999999999999</c:v>
                </c:pt>
                <c:pt idx="88">
                  <c:v>1.79</c:v>
                </c:pt>
                <c:pt idx="89">
                  <c:v>1.83</c:v>
                </c:pt>
                <c:pt idx="90">
                  <c:v>1.83</c:v>
                </c:pt>
                <c:pt idx="91">
                  <c:v>1.855</c:v>
                </c:pt>
                <c:pt idx="92">
                  <c:v>1.87</c:v>
                </c:pt>
                <c:pt idx="93">
                  <c:v>1.89</c:v>
                </c:pt>
                <c:pt idx="94">
                  <c:v>1.875</c:v>
                </c:pt>
                <c:pt idx="95">
                  <c:v>1.94</c:v>
                </c:pt>
                <c:pt idx="96">
                  <c:v>1.94</c:v>
                </c:pt>
                <c:pt idx="97">
                  <c:v>1.925</c:v>
                </c:pt>
                <c:pt idx="98">
                  <c:v>1.845</c:v>
                </c:pt>
                <c:pt idx="99">
                  <c:v>1.79</c:v>
                </c:pt>
                <c:pt idx="100">
                  <c:v>1.855</c:v>
                </c:pt>
                <c:pt idx="101">
                  <c:v>1.88</c:v>
                </c:pt>
                <c:pt idx="102">
                  <c:v>1.9450000000000001</c:v>
                </c:pt>
                <c:pt idx="103">
                  <c:v>1.915</c:v>
                </c:pt>
                <c:pt idx="104">
                  <c:v>1.875</c:v>
                </c:pt>
                <c:pt idx="105">
                  <c:v>1.88</c:v>
                </c:pt>
                <c:pt idx="106">
                  <c:v>1.867</c:v>
                </c:pt>
                <c:pt idx="107">
                  <c:v>1.835</c:v>
                </c:pt>
                <c:pt idx="108">
                  <c:v>1.96</c:v>
                </c:pt>
                <c:pt idx="109">
                  <c:v>2</c:v>
                </c:pt>
                <c:pt idx="110">
                  <c:v>1.88</c:v>
                </c:pt>
                <c:pt idx="111">
                  <c:v>1.85</c:v>
                </c:pt>
                <c:pt idx="112">
                  <c:v>1.835</c:v>
                </c:pt>
                <c:pt idx="113">
                  <c:v>1.77</c:v>
                </c:pt>
                <c:pt idx="114">
                  <c:v>1.778</c:v>
                </c:pt>
                <c:pt idx="115">
                  <c:v>1.8</c:v>
                </c:pt>
                <c:pt idx="116">
                  <c:v>1.825</c:v>
                </c:pt>
                <c:pt idx="117">
                  <c:v>1.82</c:v>
                </c:pt>
                <c:pt idx="118">
                  <c:v>1.89</c:v>
                </c:pt>
                <c:pt idx="119">
                  <c:v>1.855</c:v>
                </c:pt>
                <c:pt idx="120">
                  <c:v>1.855</c:v>
                </c:pt>
                <c:pt idx="121">
                  <c:v>1.8120000000000001</c:v>
                </c:pt>
                <c:pt idx="122">
                  <c:v>1.73</c:v>
                </c:pt>
                <c:pt idx="123">
                  <c:v>1.7749999999999999</c:v>
                </c:pt>
                <c:pt idx="124">
                  <c:v>1.7749999999999999</c:v>
                </c:pt>
                <c:pt idx="125">
                  <c:v>1.7949999999999999</c:v>
                </c:pt>
                <c:pt idx="126">
                  <c:v>1.8049999999999999</c:v>
                </c:pt>
                <c:pt idx="127">
                  <c:v>1.875</c:v>
                </c:pt>
                <c:pt idx="128">
                  <c:v>1.9</c:v>
                </c:pt>
                <c:pt idx="129">
                  <c:v>1.93</c:v>
                </c:pt>
                <c:pt idx="130">
                  <c:v>1.895</c:v>
                </c:pt>
                <c:pt idx="131">
                  <c:v>1.903</c:v>
                </c:pt>
                <c:pt idx="132">
                  <c:v>1.97</c:v>
                </c:pt>
                <c:pt idx="133">
                  <c:v>2.0699999999999998</c:v>
                </c:pt>
                <c:pt idx="134">
                  <c:v>2.13</c:v>
                </c:pt>
                <c:pt idx="135">
                  <c:v>2.1749999999999998</c:v>
                </c:pt>
                <c:pt idx="136">
                  <c:v>2.2400000000000002</c:v>
                </c:pt>
                <c:pt idx="137">
                  <c:v>2.17</c:v>
                </c:pt>
                <c:pt idx="138">
                  <c:v>2.16</c:v>
                </c:pt>
                <c:pt idx="139">
                  <c:v>2.19</c:v>
                </c:pt>
                <c:pt idx="140">
                  <c:v>2.2050000000000001</c:v>
                </c:pt>
                <c:pt idx="141">
                  <c:v>2.1949999999999998</c:v>
                </c:pt>
                <c:pt idx="142">
                  <c:v>2.17</c:v>
                </c:pt>
                <c:pt idx="143">
                  <c:v>2.14</c:v>
                </c:pt>
                <c:pt idx="144">
                  <c:v>2.11</c:v>
                </c:pt>
                <c:pt idx="145">
                  <c:v>2.0499999999999998</c:v>
                </c:pt>
                <c:pt idx="146">
                  <c:v>2.11</c:v>
                </c:pt>
                <c:pt idx="147">
                  <c:v>2.15</c:v>
                </c:pt>
                <c:pt idx="148">
                  <c:v>2.15</c:v>
                </c:pt>
                <c:pt idx="149">
                  <c:v>2.11</c:v>
                </c:pt>
                <c:pt idx="150">
                  <c:v>2.0499999999999998</c:v>
                </c:pt>
                <c:pt idx="151">
                  <c:v>2.04</c:v>
                </c:pt>
                <c:pt idx="152">
                  <c:v>2.0099999999999998</c:v>
                </c:pt>
                <c:pt idx="153">
                  <c:v>2.085</c:v>
                </c:pt>
                <c:pt idx="154">
                  <c:v>2.08</c:v>
                </c:pt>
                <c:pt idx="155">
                  <c:v>2.21</c:v>
                </c:pt>
                <c:pt idx="156">
                  <c:v>2.23</c:v>
                </c:pt>
                <c:pt idx="157">
                  <c:v>2.2200000000000002</c:v>
                </c:pt>
                <c:pt idx="158">
                  <c:v>2.25</c:v>
                </c:pt>
                <c:pt idx="159">
                  <c:v>2.27</c:v>
                </c:pt>
                <c:pt idx="160">
                  <c:v>2.23</c:v>
                </c:pt>
                <c:pt idx="161">
                  <c:v>2.2349999999999999</c:v>
                </c:pt>
                <c:pt idx="162">
                  <c:v>2.2549999999999999</c:v>
                </c:pt>
                <c:pt idx="163">
                  <c:v>2.21</c:v>
                </c:pt>
                <c:pt idx="164">
                  <c:v>2.25</c:v>
                </c:pt>
                <c:pt idx="165">
                  <c:v>2.2200000000000002</c:v>
                </c:pt>
                <c:pt idx="166">
                  <c:v>2.25</c:v>
                </c:pt>
                <c:pt idx="167">
                  <c:v>2.1800000000000002</c:v>
                </c:pt>
                <c:pt idx="168">
                  <c:v>2.27</c:v>
                </c:pt>
                <c:pt idx="169">
                  <c:v>2.21</c:v>
                </c:pt>
                <c:pt idx="170">
                  <c:v>2.23</c:v>
                </c:pt>
                <c:pt idx="171">
                  <c:v>2.16</c:v>
                </c:pt>
                <c:pt idx="172">
                  <c:v>2.15</c:v>
                </c:pt>
                <c:pt idx="173">
                  <c:v>2.19</c:v>
                </c:pt>
                <c:pt idx="174">
                  <c:v>2.14</c:v>
                </c:pt>
                <c:pt idx="175">
                  <c:v>2.1150000000000002</c:v>
                </c:pt>
                <c:pt idx="176">
                  <c:v>2.1800000000000002</c:v>
                </c:pt>
                <c:pt idx="177">
                  <c:v>2.16</c:v>
                </c:pt>
                <c:pt idx="178">
                  <c:v>2.2400000000000002</c:v>
                </c:pt>
                <c:pt idx="179">
                  <c:v>2.2200000000000002</c:v>
                </c:pt>
                <c:pt idx="180">
                  <c:v>2.2050000000000001</c:v>
                </c:pt>
                <c:pt idx="181">
                  <c:v>2.12</c:v>
                </c:pt>
                <c:pt idx="182">
                  <c:v>2.14</c:v>
                </c:pt>
                <c:pt idx="183">
                  <c:v>2.19</c:v>
                </c:pt>
                <c:pt idx="184">
                  <c:v>2.16</c:v>
                </c:pt>
                <c:pt idx="185">
                  <c:v>2.1</c:v>
                </c:pt>
                <c:pt idx="186">
                  <c:v>2.1850000000000001</c:v>
                </c:pt>
                <c:pt idx="187">
                  <c:v>2.15</c:v>
                </c:pt>
                <c:pt idx="188">
                  <c:v>2.15</c:v>
                </c:pt>
                <c:pt idx="189">
                  <c:v>2.14</c:v>
                </c:pt>
                <c:pt idx="190">
                  <c:v>2.0499999999999998</c:v>
                </c:pt>
                <c:pt idx="191">
                  <c:v>2.125</c:v>
                </c:pt>
                <c:pt idx="192">
                  <c:v>2.08</c:v>
                </c:pt>
                <c:pt idx="193">
                  <c:v>2.0449999999999999</c:v>
                </c:pt>
                <c:pt idx="194">
                  <c:v>2.04</c:v>
                </c:pt>
                <c:pt idx="195">
                  <c:v>2.0299999999999998</c:v>
                </c:pt>
                <c:pt idx="196">
                  <c:v>2.0299999999999998</c:v>
                </c:pt>
                <c:pt idx="197">
                  <c:v>2.0350000000000001</c:v>
                </c:pt>
                <c:pt idx="198">
                  <c:v>2.1</c:v>
                </c:pt>
                <c:pt idx="199">
                  <c:v>2.09</c:v>
                </c:pt>
                <c:pt idx="200">
                  <c:v>2.13</c:v>
                </c:pt>
                <c:pt idx="201">
                  <c:v>2.19</c:v>
                </c:pt>
                <c:pt idx="202">
                  <c:v>2.3199999999999998</c:v>
                </c:pt>
                <c:pt idx="203">
                  <c:v>2.3199999999999998</c:v>
                </c:pt>
                <c:pt idx="204">
                  <c:v>2.4750000000000001</c:v>
                </c:pt>
                <c:pt idx="205">
                  <c:v>2.4900000000000002</c:v>
                </c:pt>
                <c:pt idx="206">
                  <c:v>2.5750000000000002</c:v>
                </c:pt>
                <c:pt idx="207">
                  <c:v>2.52</c:v>
                </c:pt>
                <c:pt idx="208">
                  <c:v>2.5299999999999998</c:v>
                </c:pt>
                <c:pt idx="209">
                  <c:v>2.5049999999999999</c:v>
                </c:pt>
                <c:pt idx="210">
                  <c:v>2.4950000000000001</c:v>
                </c:pt>
                <c:pt idx="211">
                  <c:v>2.5049999999999999</c:v>
                </c:pt>
                <c:pt idx="212">
                  <c:v>2.46</c:v>
                </c:pt>
                <c:pt idx="213">
                  <c:v>2.4</c:v>
                </c:pt>
                <c:pt idx="214">
                  <c:v>2.36</c:v>
                </c:pt>
                <c:pt idx="215">
                  <c:v>2.31</c:v>
                </c:pt>
                <c:pt idx="216">
                  <c:v>2.2999999999999998</c:v>
                </c:pt>
                <c:pt idx="217">
                  <c:v>2.17</c:v>
                </c:pt>
                <c:pt idx="218">
                  <c:v>2.2599999999999998</c:v>
                </c:pt>
                <c:pt idx="219">
                  <c:v>2.35</c:v>
                </c:pt>
                <c:pt idx="220">
                  <c:v>2.31</c:v>
                </c:pt>
                <c:pt idx="221">
                  <c:v>2.335</c:v>
                </c:pt>
                <c:pt idx="222">
                  <c:v>2.29</c:v>
                </c:pt>
                <c:pt idx="223">
                  <c:v>2.31</c:v>
                </c:pt>
                <c:pt idx="224">
                  <c:v>2.36</c:v>
                </c:pt>
                <c:pt idx="225">
                  <c:v>2.4500000000000002</c:v>
                </c:pt>
                <c:pt idx="226">
                  <c:v>2.5</c:v>
                </c:pt>
                <c:pt idx="227">
                  <c:v>2.5</c:v>
                </c:pt>
                <c:pt idx="228">
                  <c:v>2.5299999999999998</c:v>
                </c:pt>
                <c:pt idx="229">
                  <c:v>2.54</c:v>
                </c:pt>
                <c:pt idx="230">
                  <c:v>2.4700000000000002</c:v>
                </c:pt>
                <c:pt idx="231">
                  <c:v>2.5550000000000002</c:v>
                </c:pt>
                <c:pt idx="232">
                  <c:v>2.58</c:v>
                </c:pt>
                <c:pt idx="233">
                  <c:v>2.54</c:v>
                </c:pt>
                <c:pt idx="234">
                  <c:v>2.56</c:v>
                </c:pt>
                <c:pt idx="235">
                  <c:v>2.5</c:v>
                </c:pt>
                <c:pt idx="236">
                  <c:v>2.46</c:v>
                </c:pt>
                <c:pt idx="237">
                  <c:v>2.63</c:v>
                </c:pt>
                <c:pt idx="238">
                  <c:v>2.68</c:v>
                </c:pt>
                <c:pt idx="239">
                  <c:v>2.69</c:v>
                </c:pt>
                <c:pt idx="240">
                  <c:v>2.8149999999999999</c:v>
                </c:pt>
                <c:pt idx="241">
                  <c:v>2.8</c:v>
                </c:pt>
                <c:pt idx="242">
                  <c:v>2.85</c:v>
                </c:pt>
                <c:pt idx="243">
                  <c:v>2.73</c:v>
                </c:pt>
                <c:pt idx="244">
                  <c:v>2.67</c:v>
                </c:pt>
                <c:pt idx="245">
                  <c:v>2.64</c:v>
                </c:pt>
                <c:pt idx="246">
                  <c:v>2.66</c:v>
                </c:pt>
                <c:pt idx="247">
                  <c:v>2.58</c:v>
                </c:pt>
                <c:pt idx="248">
                  <c:v>2.52</c:v>
                </c:pt>
                <c:pt idx="249">
                  <c:v>2.5649999999999999</c:v>
                </c:pt>
                <c:pt idx="250">
                  <c:v>2.57</c:v>
                </c:pt>
                <c:pt idx="251">
                  <c:v>2.56</c:v>
                </c:pt>
                <c:pt idx="252">
                  <c:v>2.5499999999999998</c:v>
                </c:pt>
                <c:pt idx="25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54-594A-A469-811AD1F26765}"/>
            </c:ext>
          </c:extLst>
        </c:ser>
        <c:ser>
          <c:idx val="2"/>
          <c:order val="2"/>
          <c:tx>
            <c:strRef>
              <c:f>'stock price'!$D$1</c:f>
              <c:strCache>
                <c:ptCount val="1"/>
                <c:pt idx="0">
                  <c:v> Low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ot"/>
            <c:size val="5"/>
            <c:spPr>
              <a:solidFill>
                <a:srgbClr val="7030A0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price'!$D$2:$D$255</c:f>
              <c:numCache>
                <c:formatCode>_("$"* #,##0.00_);_("$"* \(#,##0.00\);_("$"* "-"??_);_(@_)</c:formatCode>
                <c:ptCount val="254"/>
                <c:pt idx="0">
                  <c:v>1.7350000000000001</c:v>
                </c:pt>
                <c:pt idx="1">
                  <c:v>1.6850000000000001</c:v>
                </c:pt>
                <c:pt idx="2">
                  <c:v>1.615</c:v>
                </c:pt>
                <c:pt idx="3">
                  <c:v>1.62</c:v>
                </c:pt>
                <c:pt idx="4">
                  <c:v>1.6</c:v>
                </c:pt>
                <c:pt idx="5">
                  <c:v>1.6</c:v>
                </c:pt>
                <c:pt idx="6">
                  <c:v>1.575</c:v>
                </c:pt>
                <c:pt idx="7">
                  <c:v>1.56</c:v>
                </c:pt>
                <c:pt idx="8">
                  <c:v>1.58</c:v>
                </c:pt>
                <c:pt idx="9">
                  <c:v>1.617</c:v>
                </c:pt>
                <c:pt idx="10">
                  <c:v>1.615</c:v>
                </c:pt>
                <c:pt idx="11">
                  <c:v>1.575</c:v>
                </c:pt>
                <c:pt idx="12">
                  <c:v>1.575</c:v>
                </c:pt>
                <c:pt idx="13">
                  <c:v>1.59</c:v>
                </c:pt>
                <c:pt idx="14">
                  <c:v>1.587</c:v>
                </c:pt>
                <c:pt idx="15">
                  <c:v>1.52</c:v>
                </c:pt>
                <c:pt idx="16">
                  <c:v>1.5149999999999999</c:v>
                </c:pt>
                <c:pt idx="17">
                  <c:v>1.5449999999999999</c:v>
                </c:pt>
                <c:pt idx="18">
                  <c:v>1.4850000000000001</c:v>
                </c:pt>
                <c:pt idx="19">
                  <c:v>1.5449999999999999</c:v>
                </c:pt>
                <c:pt idx="20">
                  <c:v>1.5649999999999999</c:v>
                </c:pt>
                <c:pt idx="21">
                  <c:v>1.5349999999999999</c:v>
                </c:pt>
                <c:pt idx="22">
                  <c:v>1.66</c:v>
                </c:pt>
                <c:pt idx="23">
                  <c:v>1.585</c:v>
                </c:pt>
                <c:pt idx="24">
                  <c:v>1.5649999999999999</c:v>
                </c:pt>
                <c:pt idx="25">
                  <c:v>1.57</c:v>
                </c:pt>
                <c:pt idx="26">
                  <c:v>1.587</c:v>
                </c:pt>
                <c:pt idx="27">
                  <c:v>1.55</c:v>
                </c:pt>
                <c:pt idx="28">
                  <c:v>1.54</c:v>
                </c:pt>
                <c:pt idx="29">
                  <c:v>1.55</c:v>
                </c:pt>
                <c:pt idx="30">
                  <c:v>1.4650000000000001</c:v>
                </c:pt>
                <c:pt idx="31">
                  <c:v>1.5</c:v>
                </c:pt>
                <c:pt idx="32">
                  <c:v>1.5149999999999999</c:v>
                </c:pt>
                <c:pt idx="33">
                  <c:v>1.5049999999999999</c:v>
                </c:pt>
                <c:pt idx="34">
                  <c:v>1.51</c:v>
                </c:pt>
                <c:pt idx="35">
                  <c:v>1.55</c:v>
                </c:pt>
                <c:pt idx="36">
                  <c:v>1.52</c:v>
                </c:pt>
                <c:pt idx="37">
                  <c:v>1.54</c:v>
                </c:pt>
                <c:pt idx="38">
                  <c:v>1.585</c:v>
                </c:pt>
                <c:pt idx="39">
                  <c:v>1.52</c:v>
                </c:pt>
                <c:pt idx="40">
                  <c:v>1.57</c:v>
                </c:pt>
                <c:pt idx="41">
                  <c:v>1.48</c:v>
                </c:pt>
                <c:pt idx="42">
                  <c:v>1.5449999999999999</c:v>
                </c:pt>
                <c:pt idx="43">
                  <c:v>1.625</c:v>
                </c:pt>
                <c:pt idx="44">
                  <c:v>1.7250000000000001</c:v>
                </c:pt>
                <c:pt idx="45">
                  <c:v>1.82</c:v>
                </c:pt>
                <c:pt idx="46">
                  <c:v>1.875</c:v>
                </c:pt>
                <c:pt idx="47">
                  <c:v>1.837</c:v>
                </c:pt>
                <c:pt idx="48">
                  <c:v>1.84</c:v>
                </c:pt>
                <c:pt idx="49">
                  <c:v>1.87</c:v>
                </c:pt>
                <c:pt idx="50">
                  <c:v>1.837</c:v>
                </c:pt>
                <c:pt idx="51">
                  <c:v>1.867</c:v>
                </c:pt>
                <c:pt idx="52">
                  <c:v>1.885</c:v>
                </c:pt>
                <c:pt idx="53">
                  <c:v>1.84</c:v>
                </c:pt>
                <c:pt idx="54">
                  <c:v>1.843</c:v>
                </c:pt>
                <c:pt idx="55">
                  <c:v>1.845</c:v>
                </c:pt>
                <c:pt idx="56">
                  <c:v>1.9</c:v>
                </c:pt>
                <c:pt idx="57">
                  <c:v>1.75</c:v>
                </c:pt>
                <c:pt idx="58">
                  <c:v>1.74</c:v>
                </c:pt>
                <c:pt idx="59">
                  <c:v>1.76</c:v>
                </c:pt>
                <c:pt idx="60">
                  <c:v>1.72</c:v>
                </c:pt>
                <c:pt idx="61">
                  <c:v>1.83</c:v>
                </c:pt>
                <c:pt idx="62">
                  <c:v>1.9</c:v>
                </c:pt>
                <c:pt idx="63">
                  <c:v>1.9</c:v>
                </c:pt>
                <c:pt idx="64">
                  <c:v>1.89</c:v>
                </c:pt>
                <c:pt idx="65">
                  <c:v>1.845</c:v>
                </c:pt>
                <c:pt idx="66">
                  <c:v>1.865</c:v>
                </c:pt>
                <c:pt idx="67">
                  <c:v>1.93</c:v>
                </c:pt>
                <c:pt idx="68">
                  <c:v>1.915</c:v>
                </c:pt>
                <c:pt idx="69">
                  <c:v>1.89</c:v>
                </c:pt>
                <c:pt idx="70">
                  <c:v>1.9419999999999999</c:v>
                </c:pt>
                <c:pt idx="71">
                  <c:v>1.895</c:v>
                </c:pt>
                <c:pt idx="72">
                  <c:v>1.837</c:v>
                </c:pt>
                <c:pt idx="73">
                  <c:v>1.85</c:v>
                </c:pt>
                <c:pt idx="74">
                  <c:v>1.8149999999999999</c:v>
                </c:pt>
                <c:pt idx="75">
                  <c:v>1.7949999999999999</c:v>
                </c:pt>
                <c:pt idx="76">
                  <c:v>1.825</c:v>
                </c:pt>
                <c:pt idx="77">
                  <c:v>1.72</c:v>
                </c:pt>
                <c:pt idx="78">
                  <c:v>1.7549999999999999</c:v>
                </c:pt>
                <c:pt idx="79">
                  <c:v>1.74</c:v>
                </c:pt>
                <c:pt idx="80">
                  <c:v>1.7450000000000001</c:v>
                </c:pt>
                <c:pt idx="81">
                  <c:v>1.76</c:v>
                </c:pt>
                <c:pt idx="82">
                  <c:v>1.665</c:v>
                </c:pt>
                <c:pt idx="83">
                  <c:v>1.7</c:v>
                </c:pt>
                <c:pt idx="84">
                  <c:v>1.67</c:v>
                </c:pt>
                <c:pt idx="85">
                  <c:v>1.7</c:v>
                </c:pt>
                <c:pt idx="86">
                  <c:v>1.7350000000000001</c:v>
                </c:pt>
                <c:pt idx="87">
                  <c:v>1.78</c:v>
                </c:pt>
                <c:pt idx="88">
                  <c:v>1.7549999999999999</c:v>
                </c:pt>
                <c:pt idx="89">
                  <c:v>1.7949999999999999</c:v>
                </c:pt>
                <c:pt idx="90">
                  <c:v>1.7949999999999999</c:v>
                </c:pt>
                <c:pt idx="91">
                  <c:v>1.78</c:v>
                </c:pt>
                <c:pt idx="92">
                  <c:v>1.8149999999999999</c:v>
                </c:pt>
                <c:pt idx="93">
                  <c:v>1.845</c:v>
                </c:pt>
                <c:pt idx="94">
                  <c:v>1.84</c:v>
                </c:pt>
                <c:pt idx="95">
                  <c:v>1.9</c:v>
                </c:pt>
                <c:pt idx="96">
                  <c:v>1.915</c:v>
                </c:pt>
                <c:pt idx="97">
                  <c:v>1.883</c:v>
                </c:pt>
                <c:pt idx="98">
                  <c:v>1.79</c:v>
                </c:pt>
                <c:pt idx="99">
                  <c:v>1.7549999999999999</c:v>
                </c:pt>
                <c:pt idx="100">
                  <c:v>1.7949999999999999</c:v>
                </c:pt>
                <c:pt idx="101">
                  <c:v>1.835</c:v>
                </c:pt>
                <c:pt idx="102">
                  <c:v>1.84</c:v>
                </c:pt>
                <c:pt idx="103">
                  <c:v>1.75</c:v>
                </c:pt>
                <c:pt idx="104">
                  <c:v>1.8</c:v>
                </c:pt>
                <c:pt idx="105">
                  <c:v>1.8149999999999999</c:v>
                </c:pt>
                <c:pt idx="106">
                  <c:v>1.8169999999999999</c:v>
                </c:pt>
                <c:pt idx="107">
                  <c:v>1.7749999999999999</c:v>
                </c:pt>
                <c:pt idx="108">
                  <c:v>1.86</c:v>
                </c:pt>
                <c:pt idx="109">
                  <c:v>1.96</c:v>
                </c:pt>
                <c:pt idx="110">
                  <c:v>1.802</c:v>
                </c:pt>
                <c:pt idx="111">
                  <c:v>1.78</c:v>
                </c:pt>
                <c:pt idx="112">
                  <c:v>1.77</c:v>
                </c:pt>
                <c:pt idx="113">
                  <c:v>1.7150000000000001</c:v>
                </c:pt>
                <c:pt idx="114">
                  <c:v>1.73</c:v>
                </c:pt>
                <c:pt idx="115">
                  <c:v>1.75</c:v>
                </c:pt>
                <c:pt idx="116">
                  <c:v>1.78</c:v>
                </c:pt>
                <c:pt idx="117">
                  <c:v>1.7949999999999999</c:v>
                </c:pt>
                <c:pt idx="118">
                  <c:v>1.843</c:v>
                </c:pt>
                <c:pt idx="119">
                  <c:v>1.82</c:v>
                </c:pt>
                <c:pt idx="120">
                  <c:v>1.8049999999999999</c:v>
                </c:pt>
                <c:pt idx="121">
                  <c:v>1.742</c:v>
                </c:pt>
                <c:pt idx="122">
                  <c:v>1.68</c:v>
                </c:pt>
                <c:pt idx="123">
                  <c:v>1.722</c:v>
                </c:pt>
                <c:pt idx="124">
                  <c:v>1.72</c:v>
                </c:pt>
                <c:pt idx="125">
                  <c:v>1.75</c:v>
                </c:pt>
                <c:pt idx="126">
                  <c:v>1.7549999999999999</c:v>
                </c:pt>
                <c:pt idx="127">
                  <c:v>1.827</c:v>
                </c:pt>
                <c:pt idx="128">
                  <c:v>1.845</c:v>
                </c:pt>
                <c:pt idx="129">
                  <c:v>1.875</c:v>
                </c:pt>
                <c:pt idx="130">
                  <c:v>1.855</c:v>
                </c:pt>
                <c:pt idx="131">
                  <c:v>1.857</c:v>
                </c:pt>
                <c:pt idx="132">
                  <c:v>1.89</c:v>
                </c:pt>
                <c:pt idx="133">
                  <c:v>1.96</c:v>
                </c:pt>
                <c:pt idx="134">
                  <c:v>2.0449999999999999</c:v>
                </c:pt>
                <c:pt idx="135">
                  <c:v>2.13</c:v>
                </c:pt>
                <c:pt idx="136">
                  <c:v>2.15</c:v>
                </c:pt>
                <c:pt idx="137">
                  <c:v>2.09</c:v>
                </c:pt>
                <c:pt idx="138">
                  <c:v>2.0499999999999998</c:v>
                </c:pt>
                <c:pt idx="139">
                  <c:v>2.15</c:v>
                </c:pt>
                <c:pt idx="140">
                  <c:v>2.12</c:v>
                </c:pt>
                <c:pt idx="141">
                  <c:v>2.1</c:v>
                </c:pt>
                <c:pt idx="142">
                  <c:v>2.09</c:v>
                </c:pt>
                <c:pt idx="143">
                  <c:v>2.0299999999999998</c:v>
                </c:pt>
                <c:pt idx="144">
                  <c:v>2.0499999999999998</c:v>
                </c:pt>
                <c:pt idx="145">
                  <c:v>2</c:v>
                </c:pt>
                <c:pt idx="146">
                  <c:v>2.0299999999999998</c:v>
                </c:pt>
                <c:pt idx="147">
                  <c:v>2.08</c:v>
                </c:pt>
                <c:pt idx="148">
                  <c:v>2.0299999999999998</c:v>
                </c:pt>
                <c:pt idx="149">
                  <c:v>2.04</c:v>
                </c:pt>
                <c:pt idx="150">
                  <c:v>2</c:v>
                </c:pt>
                <c:pt idx="151">
                  <c:v>1.9750000000000001</c:v>
                </c:pt>
                <c:pt idx="152">
                  <c:v>1.9650000000000001</c:v>
                </c:pt>
                <c:pt idx="153">
                  <c:v>2.04</c:v>
                </c:pt>
                <c:pt idx="154">
                  <c:v>2</c:v>
                </c:pt>
                <c:pt idx="155">
                  <c:v>2.09</c:v>
                </c:pt>
                <c:pt idx="156">
                  <c:v>2.1800000000000002</c:v>
                </c:pt>
                <c:pt idx="157">
                  <c:v>2.1800000000000002</c:v>
                </c:pt>
                <c:pt idx="158">
                  <c:v>2.16</c:v>
                </c:pt>
                <c:pt idx="159">
                  <c:v>2.17</c:v>
                </c:pt>
                <c:pt idx="160">
                  <c:v>2.1549999999999998</c:v>
                </c:pt>
                <c:pt idx="161">
                  <c:v>2.16</c:v>
                </c:pt>
                <c:pt idx="162">
                  <c:v>2.19</c:v>
                </c:pt>
                <c:pt idx="163">
                  <c:v>2.16</c:v>
                </c:pt>
                <c:pt idx="164">
                  <c:v>2.19</c:v>
                </c:pt>
                <c:pt idx="165">
                  <c:v>2.1800000000000002</c:v>
                </c:pt>
                <c:pt idx="166">
                  <c:v>2.1850000000000001</c:v>
                </c:pt>
                <c:pt idx="167">
                  <c:v>2.0699999999999998</c:v>
                </c:pt>
                <c:pt idx="168">
                  <c:v>2.13</c:v>
                </c:pt>
                <c:pt idx="169">
                  <c:v>2.12</c:v>
                </c:pt>
                <c:pt idx="170">
                  <c:v>2.17</c:v>
                </c:pt>
                <c:pt idx="171">
                  <c:v>2.0449999999999999</c:v>
                </c:pt>
                <c:pt idx="172">
                  <c:v>2.0699999999999998</c:v>
                </c:pt>
                <c:pt idx="173">
                  <c:v>2.09</c:v>
                </c:pt>
                <c:pt idx="174">
                  <c:v>2.0699999999999998</c:v>
                </c:pt>
                <c:pt idx="175">
                  <c:v>2.09</c:v>
                </c:pt>
                <c:pt idx="176">
                  <c:v>2.11</c:v>
                </c:pt>
                <c:pt idx="177">
                  <c:v>2.12</c:v>
                </c:pt>
                <c:pt idx="178">
                  <c:v>2.1800000000000002</c:v>
                </c:pt>
                <c:pt idx="179">
                  <c:v>2.16</c:v>
                </c:pt>
                <c:pt idx="180">
                  <c:v>2.09</c:v>
                </c:pt>
                <c:pt idx="181">
                  <c:v>2.0499999999999998</c:v>
                </c:pt>
                <c:pt idx="182">
                  <c:v>2.06</c:v>
                </c:pt>
                <c:pt idx="183">
                  <c:v>2.11</c:v>
                </c:pt>
                <c:pt idx="184">
                  <c:v>2.0699999999999998</c:v>
                </c:pt>
                <c:pt idx="185">
                  <c:v>2.0499999999999998</c:v>
                </c:pt>
                <c:pt idx="186">
                  <c:v>2.1</c:v>
                </c:pt>
                <c:pt idx="187">
                  <c:v>2.09</c:v>
                </c:pt>
                <c:pt idx="188">
                  <c:v>2.09</c:v>
                </c:pt>
                <c:pt idx="189">
                  <c:v>2.0299999999999998</c:v>
                </c:pt>
                <c:pt idx="190">
                  <c:v>2.0099999999999998</c:v>
                </c:pt>
                <c:pt idx="191">
                  <c:v>2.0699999999999998</c:v>
                </c:pt>
                <c:pt idx="192">
                  <c:v>2</c:v>
                </c:pt>
                <c:pt idx="193">
                  <c:v>1.98</c:v>
                </c:pt>
                <c:pt idx="194">
                  <c:v>1.98</c:v>
                </c:pt>
                <c:pt idx="195">
                  <c:v>1.99</c:v>
                </c:pt>
                <c:pt idx="196">
                  <c:v>1.98</c:v>
                </c:pt>
                <c:pt idx="197">
                  <c:v>2.0049999999999999</c:v>
                </c:pt>
                <c:pt idx="198">
                  <c:v>2.0499999999999998</c:v>
                </c:pt>
                <c:pt idx="199">
                  <c:v>2.04</c:v>
                </c:pt>
                <c:pt idx="200">
                  <c:v>2.0699999999999998</c:v>
                </c:pt>
                <c:pt idx="201">
                  <c:v>2.11</c:v>
                </c:pt>
                <c:pt idx="202">
                  <c:v>2.2000000000000002</c:v>
                </c:pt>
                <c:pt idx="203">
                  <c:v>2.2549999999999999</c:v>
                </c:pt>
                <c:pt idx="204">
                  <c:v>2.375</c:v>
                </c:pt>
                <c:pt idx="205">
                  <c:v>2.3849999999999998</c:v>
                </c:pt>
                <c:pt idx="206">
                  <c:v>2.46</c:v>
                </c:pt>
                <c:pt idx="207">
                  <c:v>2.4300000000000002</c:v>
                </c:pt>
                <c:pt idx="208">
                  <c:v>2.4500000000000002</c:v>
                </c:pt>
                <c:pt idx="209">
                  <c:v>2.42</c:v>
                </c:pt>
                <c:pt idx="210">
                  <c:v>2.42</c:v>
                </c:pt>
                <c:pt idx="211">
                  <c:v>2.39</c:v>
                </c:pt>
                <c:pt idx="212">
                  <c:v>2.38</c:v>
                </c:pt>
                <c:pt idx="213">
                  <c:v>2.33</c:v>
                </c:pt>
                <c:pt idx="214">
                  <c:v>2.2999999999999998</c:v>
                </c:pt>
                <c:pt idx="215">
                  <c:v>2.25</c:v>
                </c:pt>
                <c:pt idx="216">
                  <c:v>2.19</c:v>
                </c:pt>
                <c:pt idx="217">
                  <c:v>2.09</c:v>
                </c:pt>
                <c:pt idx="218">
                  <c:v>2.1749999999999998</c:v>
                </c:pt>
                <c:pt idx="219">
                  <c:v>2.23</c:v>
                </c:pt>
                <c:pt idx="220">
                  <c:v>2.2000000000000002</c:v>
                </c:pt>
                <c:pt idx="221">
                  <c:v>2.2599999999999998</c:v>
                </c:pt>
                <c:pt idx="222">
                  <c:v>2.21</c:v>
                </c:pt>
                <c:pt idx="223">
                  <c:v>2.2400000000000002</c:v>
                </c:pt>
                <c:pt idx="224">
                  <c:v>2.2599999999999998</c:v>
                </c:pt>
                <c:pt idx="225">
                  <c:v>2.34</c:v>
                </c:pt>
                <c:pt idx="226">
                  <c:v>2.4550000000000001</c:v>
                </c:pt>
                <c:pt idx="227">
                  <c:v>2.46</c:v>
                </c:pt>
                <c:pt idx="228">
                  <c:v>2.4900000000000002</c:v>
                </c:pt>
                <c:pt idx="229">
                  <c:v>2.4500000000000002</c:v>
                </c:pt>
                <c:pt idx="230">
                  <c:v>2.41</c:v>
                </c:pt>
                <c:pt idx="231">
                  <c:v>2.5099999999999998</c:v>
                </c:pt>
                <c:pt idx="232">
                  <c:v>2.52</c:v>
                </c:pt>
                <c:pt idx="233">
                  <c:v>2.48</c:v>
                </c:pt>
                <c:pt idx="234">
                  <c:v>2.4649999999999999</c:v>
                </c:pt>
                <c:pt idx="235">
                  <c:v>2.4300000000000002</c:v>
                </c:pt>
                <c:pt idx="236">
                  <c:v>2.4</c:v>
                </c:pt>
                <c:pt idx="237">
                  <c:v>2.4500000000000002</c:v>
                </c:pt>
                <c:pt idx="238">
                  <c:v>2.57</c:v>
                </c:pt>
                <c:pt idx="239">
                  <c:v>2.59</c:v>
                </c:pt>
                <c:pt idx="240">
                  <c:v>2.7</c:v>
                </c:pt>
                <c:pt idx="241">
                  <c:v>2.7349999999999999</c:v>
                </c:pt>
                <c:pt idx="242">
                  <c:v>2.74</c:v>
                </c:pt>
                <c:pt idx="243">
                  <c:v>2.66</c:v>
                </c:pt>
                <c:pt idx="244">
                  <c:v>2.59</c:v>
                </c:pt>
                <c:pt idx="245">
                  <c:v>2.57</c:v>
                </c:pt>
                <c:pt idx="246">
                  <c:v>2.58</c:v>
                </c:pt>
                <c:pt idx="247">
                  <c:v>2.48</c:v>
                </c:pt>
                <c:pt idx="248">
                  <c:v>2.4550000000000001</c:v>
                </c:pt>
                <c:pt idx="249">
                  <c:v>2.5</c:v>
                </c:pt>
                <c:pt idx="250">
                  <c:v>2.5</c:v>
                </c:pt>
                <c:pt idx="251">
                  <c:v>2.5049999999999999</c:v>
                </c:pt>
                <c:pt idx="252">
                  <c:v>2.4900000000000002</c:v>
                </c:pt>
                <c:pt idx="253">
                  <c:v>2.4350000000000001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54-594A-A469-811AD1F26765}"/>
            </c:ext>
          </c:extLst>
        </c:ser>
        <c:ser>
          <c:idx val="3"/>
          <c:order val="3"/>
          <c:tx>
            <c:strRef>
              <c:f>'stock price'!$E$1</c:f>
              <c:strCache>
                <c:ptCount val="1"/>
                <c:pt idx="0">
                  <c:v> Close 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92D050"/>
              </a:solidFill>
              <a:ln w="9525">
                <a:solidFill>
                  <a:schemeClr val="accent4">
                    <a:lumMod val="75000"/>
                  </a:schemeClr>
                </a:solidFill>
              </a:ln>
              <a:effectLst/>
            </c:spPr>
          </c:marker>
          <c:cat>
            <c:strRef>
              <c:f>'stock price'!$A$2:$A$255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'stock price'!$E$2:$E$255</c:f>
              <c:numCache>
                <c:formatCode>_("$"* #,##0.00_);_("$"* \(#,##0.00\);_("$"* "-"??_);_(@_)</c:formatCode>
                <c:ptCount val="254"/>
                <c:pt idx="0">
                  <c:v>1.74</c:v>
                </c:pt>
                <c:pt idx="1">
                  <c:v>1.69</c:v>
                </c:pt>
                <c:pt idx="2">
                  <c:v>1.625</c:v>
                </c:pt>
                <c:pt idx="3">
                  <c:v>1.625</c:v>
                </c:pt>
                <c:pt idx="4">
                  <c:v>1.63</c:v>
                </c:pt>
                <c:pt idx="5">
                  <c:v>1.605</c:v>
                </c:pt>
                <c:pt idx="6">
                  <c:v>1.59</c:v>
                </c:pt>
                <c:pt idx="7">
                  <c:v>1.615</c:v>
                </c:pt>
                <c:pt idx="8">
                  <c:v>1.62</c:v>
                </c:pt>
                <c:pt idx="9">
                  <c:v>1.64</c:v>
                </c:pt>
                <c:pt idx="10">
                  <c:v>1.65</c:v>
                </c:pt>
                <c:pt idx="11">
                  <c:v>1.62</c:v>
                </c:pt>
                <c:pt idx="12">
                  <c:v>1.59</c:v>
                </c:pt>
                <c:pt idx="13">
                  <c:v>1.605</c:v>
                </c:pt>
                <c:pt idx="14">
                  <c:v>1.605</c:v>
                </c:pt>
                <c:pt idx="15">
                  <c:v>1.53</c:v>
                </c:pt>
                <c:pt idx="16">
                  <c:v>1.585</c:v>
                </c:pt>
                <c:pt idx="17">
                  <c:v>1.5649999999999999</c:v>
                </c:pt>
                <c:pt idx="18">
                  <c:v>1.5549999999999999</c:v>
                </c:pt>
                <c:pt idx="19">
                  <c:v>1.6</c:v>
                </c:pt>
                <c:pt idx="20">
                  <c:v>1.625</c:v>
                </c:pt>
                <c:pt idx="21">
                  <c:v>1.605</c:v>
                </c:pt>
                <c:pt idx="22">
                  <c:v>1.6950000000000001</c:v>
                </c:pt>
                <c:pt idx="23">
                  <c:v>1.605</c:v>
                </c:pt>
                <c:pt idx="24">
                  <c:v>1.585</c:v>
                </c:pt>
                <c:pt idx="25">
                  <c:v>1.605</c:v>
                </c:pt>
                <c:pt idx="26">
                  <c:v>1.61</c:v>
                </c:pt>
                <c:pt idx="27">
                  <c:v>1.56</c:v>
                </c:pt>
                <c:pt idx="28">
                  <c:v>1.54</c:v>
                </c:pt>
                <c:pt idx="29">
                  <c:v>1.57</c:v>
                </c:pt>
                <c:pt idx="30">
                  <c:v>1.52</c:v>
                </c:pt>
                <c:pt idx="31">
                  <c:v>1.5049999999999999</c:v>
                </c:pt>
                <c:pt idx="32">
                  <c:v>1.5249999999999999</c:v>
                </c:pt>
                <c:pt idx="33">
                  <c:v>1.5249999999999999</c:v>
                </c:pt>
                <c:pt idx="34">
                  <c:v>1.54</c:v>
                </c:pt>
                <c:pt idx="35">
                  <c:v>1.5649999999999999</c:v>
                </c:pt>
                <c:pt idx="36">
                  <c:v>1.5549999999999999</c:v>
                </c:pt>
                <c:pt idx="37">
                  <c:v>1.56</c:v>
                </c:pt>
                <c:pt idx="38">
                  <c:v>1.61</c:v>
                </c:pt>
                <c:pt idx="39">
                  <c:v>1.57</c:v>
                </c:pt>
                <c:pt idx="40">
                  <c:v>1.575</c:v>
                </c:pt>
                <c:pt idx="41">
                  <c:v>1.53</c:v>
                </c:pt>
                <c:pt idx="42">
                  <c:v>1.58</c:v>
                </c:pt>
                <c:pt idx="43">
                  <c:v>1.7</c:v>
                </c:pt>
                <c:pt idx="44">
                  <c:v>1.825</c:v>
                </c:pt>
                <c:pt idx="45">
                  <c:v>1.855</c:v>
                </c:pt>
                <c:pt idx="46">
                  <c:v>1.917</c:v>
                </c:pt>
                <c:pt idx="47">
                  <c:v>1.86</c:v>
                </c:pt>
                <c:pt idx="48">
                  <c:v>1.87</c:v>
                </c:pt>
                <c:pt idx="49">
                  <c:v>1.895</c:v>
                </c:pt>
                <c:pt idx="50">
                  <c:v>1.89</c:v>
                </c:pt>
                <c:pt idx="51">
                  <c:v>1.895</c:v>
                </c:pt>
                <c:pt idx="52">
                  <c:v>1.92</c:v>
                </c:pt>
                <c:pt idx="53">
                  <c:v>1.865</c:v>
                </c:pt>
                <c:pt idx="54">
                  <c:v>1.885</c:v>
                </c:pt>
                <c:pt idx="55">
                  <c:v>1.88</c:v>
                </c:pt>
                <c:pt idx="56">
                  <c:v>1.92</c:v>
                </c:pt>
                <c:pt idx="57">
                  <c:v>1.8</c:v>
                </c:pt>
                <c:pt idx="58">
                  <c:v>1.8</c:v>
                </c:pt>
                <c:pt idx="59">
                  <c:v>1.76</c:v>
                </c:pt>
                <c:pt idx="60">
                  <c:v>1.8049999999999999</c:v>
                </c:pt>
                <c:pt idx="61">
                  <c:v>1.855</c:v>
                </c:pt>
                <c:pt idx="62">
                  <c:v>1.9350000000000001</c:v>
                </c:pt>
                <c:pt idx="63">
                  <c:v>1.905</c:v>
                </c:pt>
                <c:pt idx="64">
                  <c:v>1.91</c:v>
                </c:pt>
                <c:pt idx="65">
                  <c:v>1.855</c:v>
                </c:pt>
                <c:pt idx="66">
                  <c:v>1.9450000000000001</c:v>
                </c:pt>
                <c:pt idx="67">
                  <c:v>1.95</c:v>
                </c:pt>
                <c:pt idx="68">
                  <c:v>1.9450000000000001</c:v>
                </c:pt>
                <c:pt idx="69">
                  <c:v>1.915</c:v>
                </c:pt>
                <c:pt idx="70">
                  <c:v>1.9850000000000001</c:v>
                </c:pt>
                <c:pt idx="71">
                  <c:v>1.895</c:v>
                </c:pt>
                <c:pt idx="72">
                  <c:v>1.845</c:v>
                </c:pt>
                <c:pt idx="73">
                  <c:v>1.88</c:v>
                </c:pt>
                <c:pt idx="74">
                  <c:v>1.825</c:v>
                </c:pt>
                <c:pt idx="75">
                  <c:v>1.875</c:v>
                </c:pt>
                <c:pt idx="76">
                  <c:v>1.835</c:v>
                </c:pt>
                <c:pt idx="77">
                  <c:v>1.7450000000000001</c:v>
                </c:pt>
                <c:pt idx="78">
                  <c:v>1.7649999999999999</c:v>
                </c:pt>
                <c:pt idx="79">
                  <c:v>1.7549999999999999</c:v>
                </c:pt>
                <c:pt idx="80">
                  <c:v>1.77</c:v>
                </c:pt>
                <c:pt idx="81">
                  <c:v>1.76</c:v>
                </c:pt>
                <c:pt idx="82">
                  <c:v>1.68</c:v>
                </c:pt>
                <c:pt idx="83">
                  <c:v>1.7</c:v>
                </c:pt>
                <c:pt idx="84">
                  <c:v>1.7</c:v>
                </c:pt>
                <c:pt idx="85">
                  <c:v>1.71</c:v>
                </c:pt>
                <c:pt idx="86">
                  <c:v>1.79</c:v>
                </c:pt>
                <c:pt idx="87">
                  <c:v>1.7949999999999999</c:v>
                </c:pt>
                <c:pt idx="88">
                  <c:v>1.77</c:v>
                </c:pt>
                <c:pt idx="89">
                  <c:v>1.8149999999999999</c:v>
                </c:pt>
                <c:pt idx="90">
                  <c:v>1.825</c:v>
                </c:pt>
                <c:pt idx="91">
                  <c:v>1.845</c:v>
                </c:pt>
                <c:pt idx="92">
                  <c:v>1.8149999999999999</c:v>
                </c:pt>
                <c:pt idx="93">
                  <c:v>1.875</c:v>
                </c:pt>
                <c:pt idx="94">
                  <c:v>1.87</c:v>
                </c:pt>
                <c:pt idx="95">
                  <c:v>1.915</c:v>
                </c:pt>
                <c:pt idx="96">
                  <c:v>1.92</c:v>
                </c:pt>
                <c:pt idx="97">
                  <c:v>1.89</c:v>
                </c:pt>
                <c:pt idx="98">
                  <c:v>1.79</c:v>
                </c:pt>
                <c:pt idx="99">
                  <c:v>1.78</c:v>
                </c:pt>
                <c:pt idx="100">
                  <c:v>1.855</c:v>
                </c:pt>
                <c:pt idx="101">
                  <c:v>1.85</c:v>
                </c:pt>
                <c:pt idx="102">
                  <c:v>1.91</c:v>
                </c:pt>
                <c:pt idx="103">
                  <c:v>1.8</c:v>
                </c:pt>
                <c:pt idx="104">
                  <c:v>1.875</c:v>
                </c:pt>
                <c:pt idx="105">
                  <c:v>1.8149999999999999</c:v>
                </c:pt>
                <c:pt idx="106">
                  <c:v>1.82</c:v>
                </c:pt>
                <c:pt idx="107">
                  <c:v>1.83</c:v>
                </c:pt>
                <c:pt idx="108">
                  <c:v>1.92</c:v>
                </c:pt>
                <c:pt idx="109">
                  <c:v>1.99</c:v>
                </c:pt>
                <c:pt idx="110">
                  <c:v>1.8149999999999999</c:v>
                </c:pt>
                <c:pt idx="111">
                  <c:v>1.7949999999999999</c:v>
                </c:pt>
                <c:pt idx="112">
                  <c:v>1.78</c:v>
                </c:pt>
                <c:pt idx="113">
                  <c:v>1.7250000000000001</c:v>
                </c:pt>
                <c:pt idx="114">
                  <c:v>1.7649999999999999</c:v>
                </c:pt>
                <c:pt idx="115">
                  <c:v>1.7649999999999999</c:v>
                </c:pt>
                <c:pt idx="116">
                  <c:v>1.81</c:v>
                </c:pt>
                <c:pt idx="117">
                  <c:v>1.81</c:v>
                </c:pt>
                <c:pt idx="118">
                  <c:v>1.89</c:v>
                </c:pt>
                <c:pt idx="119">
                  <c:v>1.83</c:v>
                </c:pt>
                <c:pt idx="120">
                  <c:v>1.83</c:v>
                </c:pt>
                <c:pt idx="121">
                  <c:v>1.75</c:v>
                </c:pt>
                <c:pt idx="122">
                  <c:v>1.73</c:v>
                </c:pt>
                <c:pt idx="123">
                  <c:v>1.7549999999999999</c:v>
                </c:pt>
                <c:pt idx="124">
                  <c:v>1.7649999999999999</c:v>
                </c:pt>
                <c:pt idx="125">
                  <c:v>1.76</c:v>
                </c:pt>
                <c:pt idx="126">
                  <c:v>1.7949999999999999</c:v>
                </c:pt>
                <c:pt idx="127">
                  <c:v>1.865</c:v>
                </c:pt>
                <c:pt idx="128">
                  <c:v>1.895</c:v>
                </c:pt>
                <c:pt idx="129">
                  <c:v>1.88</c:v>
                </c:pt>
                <c:pt idx="130">
                  <c:v>1.895</c:v>
                </c:pt>
                <c:pt idx="131">
                  <c:v>1.88</c:v>
                </c:pt>
                <c:pt idx="132">
                  <c:v>1.9550000000000001</c:v>
                </c:pt>
                <c:pt idx="133">
                  <c:v>2.0699999999999998</c:v>
                </c:pt>
                <c:pt idx="134">
                  <c:v>2.12</c:v>
                </c:pt>
                <c:pt idx="135">
                  <c:v>2.15</c:v>
                </c:pt>
                <c:pt idx="136">
                  <c:v>2.16</c:v>
                </c:pt>
                <c:pt idx="137">
                  <c:v>2.15</c:v>
                </c:pt>
                <c:pt idx="138">
                  <c:v>2.15</c:v>
                </c:pt>
                <c:pt idx="139">
                  <c:v>2.17</c:v>
                </c:pt>
                <c:pt idx="140">
                  <c:v>2.12</c:v>
                </c:pt>
                <c:pt idx="141">
                  <c:v>2.17</c:v>
                </c:pt>
                <c:pt idx="142">
                  <c:v>2.12</c:v>
                </c:pt>
                <c:pt idx="143">
                  <c:v>2.0699999999999998</c:v>
                </c:pt>
                <c:pt idx="144">
                  <c:v>2.06</c:v>
                </c:pt>
                <c:pt idx="145">
                  <c:v>2.02</c:v>
                </c:pt>
                <c:pt idx="146">
                  <c:v>2.09</c:v>
                </c:pt>
                <c:pt idx="147">
                  <c:v>2.11</c:v>
                </c:pt>
                <c:pt idx="148">
                  <c:v>2.12</c:v>
                </c:pt>
                <c:pt idx="149">
                  <c:v>2.08</c:v>
                </c:pt>
                <c:pt idx="150">
                  <c:v>2.02</c:v>
                </c:pt>
                <c:pt idx="151">
                  <c:v>2.0299999999999998</c:v>
                </c:pt>
                <c:pt idx="152">
                  <c:v>1.9850000000000001</c:v>
                </c:pt>
                <c:pt idx="153">
                  <c:v>2.06</c:v>
                </c:pt>
                <c:pt idx="154">
                  <c:v>2.04</c:v>
                </c:pt>
                <c:pt idx="155">
                  <c:v>2.21</c:v>
                </c:pt>
                <c:pt idx="156">
                  <c:v>2.2000000000000002</c:v>
                </c:pt>
                <c:pt idx="157">
                  <c:v>2.1800000000000002</c:v>
                </c:pt>
                <c:pt idx="158">
                  <c:v>2.2000000000000002</c:v>
                </c:pt>
                <c:pt idx="159">
                  <c:v>2.17</c:v>
                </c:pt>
                <c:pt idx="160">
                  <c:v>2.1800000000000002</c:v>
                </c:pt>
                <c:pt idx="161">
                  <c:v>2.21</c:v>
                </c:pt>
                <c:pt idx="162">
                  <c:v>2.2200000000000002</c:v>
                </c:pt>
                <c:pt idx="163">
                  <c:v>2.2000000000000002</c:v>
                </c:pt>
                <c:pt idx="164">
                  <c:v>2.2000000000000002</c:v>
                </c:pt>
                <c:pt idx="165">
                  <c:v>2.19</c:v>
                </c:pt>
                <c:pt idx="166">
                  <c:v>2.19</c:v>
                </c:pt>
                <c:pt idx="167">
                  <c:v>2.14</c:v>
                </c:pt>
                <c:pt idx="168">
                  <c:v>2.27</c:v>
                </c:pt>
                <c:pt idx="169">
                  <c:v>2.2000000000000002</c:v>
                </c:pt>
                <c:pt idx="170">
                  <c:v>2.19</c:v>
                </c:pt>
                <c:pt idx="171">
                  <c:v>2.0699999999999998</c:v>
                </c:pt>
                <c:pt idx="172">
                  <c:v>2.14</c:v>
                </c:pt>
                <c:pt idx="173">
                  <c:v>2.1800000000000002</c:v>
                </c:pt>
                <c:pt idx="174">
                  <c:v>2.0699999999999998</c:v>
                </c:pt>
                <c:pt idx="175">
                  <c:v>2.11</c:v>
                </c:pt>
                <c:pt idx="176">
                  <c:v>2.11</c:v>
                </c:pt>
                <c:pt idx="177">
                  <c:v>2.15</c:v>
                </c:pt>
                <c:pt idx="178">
                  <c:v>2.2000000000000002</c:v>
                </c:pt>
                <c:pt idx="179">
                  <c:v>2.17</c:v>
                </c:pt>
                <c:pt idx="180">
                  <c:v>2.11</c:v>
                </c:pt>
                <c:pt idx="181">
                  <c:v>2.1</c:v>
                </c:pt>
                <c:pt idx="182">
                  <c:v>2.12</c:v>
                </c:pt>
                <c:pt idx="183">
                  <c:v>2.11</c:v>
                </c:pt>
                <c:pt idx="184">
                  <c:v>2.11</c:v>
                </c:pt>
                <c:pt idx="185">
                  <c:v>2.0699999999999998</c:v>
                </c:pt>
                <c:pt idx="186">
                  <c:v>2.1</c:v>
                </c:pt>
                <c:pt idx="187">
                  <c:v>2.15</c:v>
                </c:pt>
                <c:pt idx="188">
                  <c:v>2.15</c:v>
                </c:pt>
                <c:pt idx="189">
                  <c:v>2.06</c:v>
                </c:pt>
                <c:pt idx="190">
                  <c:v>2.04</c:v>
                </c:pt>
                <c:pt idx="191">
                  <c:v>2.09</c:v>
                </c:pt>
                <c:pt idx="192">
                  <c:v>2.02</c:v>
                </c:pt>
                <c:pt idx="193">
                  <c:v>2.04</c:v>
                </c:pt>
                <c:pt idx="194">
                  <c:v>2.02</c:v>
                </c:pt>
                <c:pt idx="195">
                  <c:v>2.0099999999999998</c:v>
                </c:pt>
                <c:pt idx="196">
                  <c:v>1.9950000000000001</c:v>
                </c:pt>
                <c:pt idx="197">
                  <c:v>2.0299999999999998</c:v>
                </c:pt>
                <c:pt idx="198">
                  <c:v>2.0699999999999998</c:v>
                </c:pt>
                <c:pt idx="199">
                  <c:v>2.0499999999999998</c:v>
                </c:pt>
                <c:pt idx="200">
                  <c:v>2.08</c:v>
                </c:pt>
                <c:pt idx="201">
                  <c:v>2.19</c:v>
                </c:pt>
                <c:pt idx="202">
                  <c:v>2.3199999999999998</c:v>
                </c:pt>
                <c:pt idx="203">
                  <c:v>2.2999999999999998</c:v>
                </c:pt>
                <c:pt idx="204">
                  <c:v>2.4700000000000002</c:v>
                </c:pt>
                <c:pt idx="205">
                  <c:v>2.4900000000000002</c:v>
                </c:pt>
                <c:pt idx="206">
                  <c:v>2.56</c:v>
                </c:pt>
                <c:pt idx="207">
                  <c:v>2.4900000000000002</c:v>
                </c:pt>
                <c:pt idx="208">
                  <c:v>2.5299999999999998</c:v>
                </c:pt>
                <c:pt idx="209">
                  <c:v>2.44</c:v>
                </c:pt>
                <c:pt idx="210">
                  <c:v>2.4700000000000002</c:v>
                </c:pt>
                <c:pt idx="211">
                  <c:v>2.44</c:v>
                </c:pt>
                <c:pt idx="212">
                  <c:v>2.4500000000000002</c:v>
                </c:pt>
                <c:pt idx="213">
                  <c:v>2.34</c:v>
                </c:pt>
                <c:pt idx="214">
                  <c:v>2.3199999999999998</c:v>
                </c:pt>
                <c:pt idx="215">
                  <c:v>2.2599999999999998</c:v>
                </c:pt>
                <c:pt idx="216">
                  <c:v>2.23</c:v>
                </c:pt>
                <c:pt idx="217">
                  <c:v>2.14</c:v>
                </c:pt>
                <c:pt idx="218">
                  <c:v>2.2400000000000002</c:v>
                </c:pt>
                <c:pt idx="219">
                  <c:v>2.33</c:v>
                </c:pt>
                <c:pt idx="220">
                  <c:v>2.2999999999999998</c:v>
                </c:pt>
                <c:pt idx="221">
                  <c:v>2.2999999999999998</c:v>
                </c:pt>
                <c:pt idx="222">
                  <c:v>2.23</c:v>
                </c:pt>
                <c:pt idx="223">
                  <c:v>2.27</c:v>
                </c:pt>
                <c:pt idx="224">
                  <c:v>2.31</c:v>
                </c:pt>
                <c:pt idx="225">
                  <c:v>2.42</c:v>
                </c:pt>
                <c:pt idx="226">
                  <c:v>2.4700000000000002</c:v>
                </c:pt>
                <c:pt idx="227">
                  <c:v>2.48</c:v>
                </c:pt>
                <c:pt idx="228">
                  <c:v>2.5</c:v>
                </c:pt>
                <c:pt idx="229">
                  <c:v>2.48</c:v>
                </c:pt>
                <c:pt idx="230">
                  <c:v>2.4300000000000002</c:v>
                </c:pt>
                <c:pt idx="231">
                  <c:v>2.52</c:v>
                </c:pt>
                <c:pt idx="232">
                  <c:v>2.52</c:v>
                </c:pt>
                <c:pt idx="233">
                  <c:v>2.5299999999999998</c:v>
                </c:pt>
                <c:pt idx="234">
                  <c:v>2.4900000000000002</c:v>
                </c:pt>
                <c:pt idx="235">
                  <c:v>2.4300000000000002</c:v>
                </c:pt>
                <c:pt idx="236">
                  <c:v>2.41</c:v>
                </c:pt>
                <c:pt idx="237">
                  <c:v>2.63</c:v>
                </c:pt>
                <c:pt idx="238">
                  <c:v>2.62</c:v>
                </c:pt>
                <c:pt idx="239">
                  <c:v>2.67</c:v>
                </c:pt>
                <c:pt idx="240">
                  <c:v>2.74</c:v>
                </c:pt>
                <c:pt idx="241">
                  <c:v>2.77</c:v>
                </c:pt>
                <c:pt idx="242">
                  <c:v>2.74</c:v>
                </c:pt>
                <c:pt idx="243">
                  <c:v>2.71</c:v>
                </c:pt>
                <c:pt idx="244">
                  <c:v>2.61</c:v>
                </c:pt>
                <c:pt idx="245">
                  <c:v>2.63</c:v>
                </c:pt>
                <c:pt idx="246">
                  <c:v>2.59</c:v>
                </c:pt>
                <c:pt idx="247">
                  <c:v>2.54</c:v>
                </c:pt>
                <c:pt idx="248">
                  <c:v>2.5</c:v>
                </c:pt>
                <c:pt idx="249">
                  <c:v>2.54</c:v>
                </c:pt>
                <c:pt idx="250">
                  <c:v>2.5299999999999998</c:v>
                </c:pt>
                <c:pt idx="251">
                  <c:v>2.5499999999999998</c:v>
                </c:pt>
                <c:pt idx="252">
                  <c:v>2.52</c:v>
                </c:pt>
                <c:pt idx="25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54-594A-A469-811AD1F26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802771104"/>
        <c:axId val="785046255"/>
      </c:stockChart>
      <c:catAx>
        <c:axId val="8027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46255"/>
        <c:crosses val="autoZero"/>
        <c:auto val="1"/>
        <c:lblAlgn val="ctr"/>
        <c:lblOffset val="100"/>
        <c:noMultiLvlLbl val="0"/>
      </c:catAx>
      <c:valAx>
        <c:axId val="785046255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27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Capital</a:t>
            </a:r>
            <a:r>
              <a:rPr lang="en-GB" baseline="0"/>
              <a:t> vs Issued Shares Analysis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'capital vs issued shares'!$H$1</c:f>
              <c:strCache>
                <c:ptCount val="1"/>
                <c:pt idx="0">
                  <c:v>Shares on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'capital vs issued shares'!$A$2:$A$255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'capital vs issued shares'!$H$2:$H$255</c:f>
              <c:numCache>
                <c:formatCode>#,##0.00##</c:formatCode>
                <c:ptCount val="254"/>
                <c:pt idx="0">
                  <c:v>1099862562</c:v>
                </c:pt>
                <c:pt idx="1">
                  <c:v>1099862562</c:v>
                </c:pt>
                <c:pt idx="2">
                  <c:v>1099862562</c:v>
                </c:pt>
                <c:pt idx="3">
                  <c:v>1099862562</c:v>
                </c:pt>
                <c:pt idx="4">
                  <c:v>1099862562</c:v>
                </c:pt>
                <c:pt idx="5">
                  <c:v>1099862562</c:v>
                </c:pt>
                <c:pt idx="6">
                  <c:v>1099862562</c:v>
                </c:pt>
                <c:pt idx="7">
                  <c:v>1099862562</c:v>
                </c:pt>
                <c:pt idx="8">
                  <c:v>1099862562</c:v>
                </c:pt>
                <c:pt idx="9">
                  <c:v>1099862562</c:v>
                </c:pt>
                <c:pt idx="10">
                  <c:v>1099862562</c:v>
                </c:pt>
                <c:pt idx="11">
                  <c:v>1099862562</c:v>
                </c:pt>
                <c:pt idx="12">
                  <c:v>1099862562</c:v>
                </c:pt>
                <c:pt idx="13">
                  <c:v>1099862562</c:v>
                </c:pt>
                <c:pt idx="14">
                  <c:v>1099862562</c:v>
                </c:pt>
                <c:pt idx="15">
                  <c:v>1099862562</c:v>
                </c:pt>
                <c:pt idx="16">
                  <c:v>1099862562</c:v>
                </c:pt>
                <c:pt idx="17">
                  <c:v>1099862562</c:v>
                </c:pt>
                <c:pt idx="18">
                  <c:v>1099862562</c:v>
                </c:pt>
                <c:pt idx="19">
                  <c:v>1099862562</c:v>
                </c:pt>
                <c:pt idx="20">
                  <c:v>1099862562</c:v>
                </c:pt>
                <c:pt idx="21">
                  <c:v>1099862562</c:v>
                </c:pt>
                <c:pt idx="22">
                  <c:v>1099862562</c:v>
                </c:pt>
                <c:pt idx="23">
                  <c:v>1099862562</c:v>
                </c:pt>
                <c:pt idx="24">
                  <c:v>1099862562</c:v>
                </c:pt>
                <c:pt idx="25">
                  <c:v>1099862562</c:v>
                </c:pt>
                <c:pt idx="26">
                  <c:v>1099862562</c:v>
                </c:pt>
                <c:pt idx="27">
                  <c:v>1121780094</c:v>
                </c:pt>
                <c:pt idx="28">
                  <c:v>1121780094</c:v>
                </c:pt>
                <c:pt idx="29">
                  <c:v>1121780094</c:v>
                </c:pt>
                <c:pt idx="30">
                  <c:v>1121780094</c:v>
                </c:pt>
                <c:pt idx="31">
                  <c:v>1121780094</c:v>
                </c:pt>
                <c:pt idx="32">
                  <c:v>1121780094</c:v>
                </c:pt>
                <c:pt idx="33">
                  <c:v>1121780094</c:v>
                </c:pt>
                <c:pt idx="34">
                  <c:v>1121780094</c:v>
                </c:pt>
                <c:pt idx="35">
                  <c:v>1121780094</c:v>
                </c:pt>
                <c:pt idx="36">
                  <c:v>1121780094</c:v>
                </c:pt>
                <c:pt idx="37">
                  <c:v>1121780094</c:v>
                </c:pt>
                <c:pt idx="38">
                  <c:v>1121933336</c:v>
                </c:pt>
                <c:pt idx="39">
                  <c:v>1121933336</c:v>
                </c:pt>
                <c:pt idx="40">
                  <c:v>1121933336</c:v>
                </c:pt>
                <c:pt idx="41">
                  <c:v>1121933336</c:v>
                </c:pt>
                <c:pt idx="42">
                  <c:v>1121933336</c:v>
                </c:pt>
                <c:pt idx="43">
                  <c:v>1121933336</c:v>
                </c:pt>
                <c:pt idx="44">
                  <c:v>1121933336</c:v>
                </c:pt>
                <c:pt idx="45">
                  <c:v>1121933336</c:v>
                </c:pt>
                <c:pt idx="46">
                  <c:v>1121933336</c:v>
                </c:pt>
                <c:pt idx="47">
                  <c:v>1121933336</c:v>
                </c:pt>
                <c:pt idx="48">
                  <c:v>1121933336</c:v>
                </c:pt>
                <c:pt idx="49">
                  <c:v>1121933336</c:v>
                </c:pt>
                <c:pt idx="50">
                  <c:v>1121933336</c:v>
                </c:pt>
                <c:pt idx="51">
                  <c:v>1121933336</c:v>
                </c:pt>
                <c:pt idx="52">
                  <c:v>1121933336</c:v>
                </c:pt>
                <c:pt idx="53">
                  <c:v>1121933336</c:v>
                </c:pt>
                <c:pt idx="54">
                  <c:v>1121933336</c:v>
                </c:pt>
                <c:pt idx="55">
                  <c:v>1121933336</c:v>
                </c:pt>
                <c:pt idx="56">
                  <c:v>1121933336</c:v>
                </c:pt>
                <c:pt idx="57">
                  <c:v>1121933336</c:v>
                </c:pt>
                <c:pt idx="58">
                  <c:v>1121933336</c:v>
                </c:pt>
                <c:pt idx="59">
                  <c:v>1121933336</c:v>
                </c:pt>
                <c:pt idx="60">
                  <c:v>1121933336</c:v>
                </c:pt>
                <c:pt idx="61">
                  <c:v>1121933336</c:v>
                </c:pt>
                <c:pt idx="62">
                  <c:v>1121933336</c:v>
                </c:pt>
                <c:pt idx="63">
                  <c:v>1121933336</c:v>
                </c:pt>
                <c:pt idx="64">
                  <c:v>1121933336</c:v>
                </c:pt>
                <c:pt idx="65">
                  <c:v>1121933336</c:v>
                </c:pt>
                <c:pt idx="66">
                  <c:v>1121933336</c:v>
                </c:pt>
                <c:pt idx="67">
                  <c:v>1121933336</c:v>
                </c:pt>
                <c:pt idx="68">
                  <c:v>1121933336</c:v>
                </c:pt>
                <c:pt idx="69">
                  <c:v>1121933336</c:v>
                </c:pt>
                <c:pt idx="70">
                  <c:v>1121933336</c:v>
                </c:pt>
                <c:pt idx="71">
                  <c:v>1121933336</c:v>
                </c:pt>
                <c:pt idx="72">
                  <c:v>1121933336</c:v>
                </c:pt>
                <c:pt idx="73">
                  <c:v>1121933336</c:v>
                </c:pt>
                <c:pt idx="74">
                  <c:v>1121933336</c:v>
                </c:pt>
                <c:pt idx="75">
                  <c:v>1121933336</c:v>
                </c:pt>
                <c:pt idx="76">
                  <c:v>1121933336</c:v>
                </c:pt>
                <c:pt idx="77">
                  <c:v>1121933336</c:v>
                </c:pt>
                <c:pt idx="78">
                  <c:v>1121933336</c:v>
                </c:pt>
                <c:pt idx="79">
                  <c:v>1121933336</c:v>
                </c:pt>
                <c:pt idx="80">
                  <c:v>1121933336</c:v>
                </c:pt>
                <c:pt idx="81">
                  <c:v>1121933336</c:v>
                </c:pt>
                <c:pt idx="82">
                  <c:v>1121933336</c:v>
                </c:pt>
                <c:pt idx="83">
                  <c:v>1121933336</c:v>
                </c:pt>
                <c:pt idx="84">
                  <c:v>1121933336</c:v>
                </c:pt>
                <c:pt idx="85">
                  <c:v>1121933336</c:v>
                </c:pt>
                <c:pt idx="86">
                  <c:v>1121933336</c:v>
                </c:pt>
                <c:pt idx="87">
                  <c:v>1121933336</c:v>
                </c:pt>
                <c:pt idx="88">
                  <c:v>1121933336</c:v>
                </c:pt>
                <c:pt idx="89">
                  <c:v>1121933336</c:v>
                </c:pt>
                <c:pt idx="90">
                  <c:v>1121933336</c:v>
                </c:pt>
                <c:pt idx="91">
                  <c:v>1121933336</c:v>
                </c:pt>
                <c:pt idx="92">
                  <c:v>1121933336</c:v>
                </c:pt>
                <c:pt idx="93">
                  <c:v>1121933336</c:v>
                </c:pt>
                <c:pt idx="94">
                  <c:v>1121933336</c:v>
                </c:pt>
                <c:pt idx="95">
                  <c:v>1121933336</c:v>
                </c:pt>
                <c:pt idx="96">
                  <c:v>1121933336</c:v>
                </c:pt>
                <c:pt idx="97">
                  <c:v>1121933336</c:v>
                </c:pt>
                <c:pt idx="98">
                  <c:v>1121933336</c:v>
                </c:pt>
                <c:pt idx="99">
                  <c:v>1121933336</c:v>
                </c:pt>
                <c:pt idx="100">
                  <c:v>1121933336</c:v>
                </c:pt>
                <c:pt idx="101">
                  <c:v>1121933336</c:v>
                </c:pt>
                <c:pt idx="102">
                  <c:v>1121933336</c:v>
                </c:pt>
                <c:pt idx="103">
                  <c:v>1121933336</c:v>
                </c:pt>
                <c:pt idx="104">
                  <c:v>1121933336</c:v>
                </c:pt>
                <c:pt idx="105">
                  <c:v>1121933336</c:v>
                </c:pt>
                <c:pt idx="106">
                  <c:v>1121933336</c:v>
                </c:pt>
                <c:pt idx="107">
                  <c:v>1121933336</c:v>
                </c:pt>
                <c:pt idx="108">
                  <c:v>1121933336</c:v>
                </c:pt>
                <c:pt idx="109">
                  <c:v>1121933336</c:v>
                </c:pt>
                <c:pt idx="110">
                  <c:v>1121933336</c:v>
                </c:pt>
                <c:pt idx="111">
                  <c:v>1121933336</c:v>
                </c:pt>
                <c:pt idx="112">
                  <c:v>1121933336</c:v>
                </c:pt>
                <c:pt idx="113">
                  <c:v>1121933336</c:v>
                </c:pt>
                <c:pt idx="114">
                  <c:v>1121933336</c:v>
                </c:pt>
                <c:pt idx="115">
                  <c:v>1121933336</c:v>
                </c:pt>
                <c:pt idx="116">
                  <c:v>1121933336</c:v>
                </c:pt>
                <c:pt idx="117">
                  <c:v>1121933336</c:v>
                </c:pt>
                <c:pt idx="118">
                  <c:v>1121933336</c:v>
                </c:pt>
                <c:pt idx="119">
                  <c:v>1121933336</c:v>
                </c:pt>
                <c:pt idx="120">
                  <c:v>1121933336</c:v>
                </c:pt>
                <c:pt idx="121">
                  <c:v>1121933336</c:v>
                </c:pt>
                <c:pt idx="122">
                  <c:v>1121933336</c:v>
                </c:pt>
                <c:pt idx="123">
                  <c:v>1121933336</c:v>
                </c:pt>
                <c:pt idx="124">
                  <c:v>1121933336</c:v>
                </c:pt>
                <c:pt idx="125">
                  <c:v>1121933336</c:v>
                </c:pt>
                <c:pt idx="126">
                  <c:v>1121933336</c:v>
                </c:pt>
                <c:pt idx="127">
                  <c:v>1121933336</c:v>
                </c:pt>
                <c:pt idx="128">
                  <c:v>1121933336</c:v>
                </c:pt>
                <c:pt idx="129">
                  <c:v>1121933336</c:v>
                </c:pt>
                <c:pt idx="130">
                  <c:v>1121933336</c:v>
                </c:pt>
                <c:pt idx="131">
                  <c:v>1121933336</c:v>
                </c:pt>
                <c:pt idx="132">
                  <c:v>1121933336</c:v>
                </c:pt>
                <c:pt idx="133">
                  <c:v>1121933336</c:v>
                </c:pt>
                <c:pt idx="134">
                  <c:v>1121933336</c:v>
                </c:pt>
                <c:pt idx="135">
                  <c:v>1121996411</c:v>
                </c:pt>
                <c:pt idx="136">
                  <c:v>1121996411</c:v>
                </c:pt>
                <c:pt idx="137">
                  <c:v>1121996411</c:v>
                </c:pt>
                <c:pt idx="138">
                  <c:v>1121996411</c:v>
                </c:pt>
                <c:pt idx="139">
                  <c:v>1121996411</c:v>
                </c:pt>
                <c:pt idx="140">
                  <c:v>1121996411</c:v>
                </c:pt>
                <c:pt idx="141">
                  <c:v>1121996411</c:v>
                </c:pt>
                <c:pt idx="142">
                  <c:v>1121996411</c:v>
                </c:pt>
                <c:pt idx="143">
                  <c:v>1121996411</c:v>
                </c:pt>
                <c:pt idx="144">
                  <c:v>1121996411</c:v>
                </c:pt>
                <c:pt idx="145">
                  <c:v>1121996411</c:v>
                </c:pt>
                <c:pt idx="146">
                  <c:v>1121996411</c:v>
                </c:pt>
                <c:pt idx="147">
                  <c:v>1121996411</c:v>
                </c:pt>
                <c:pt idx="148">
                  <c:v>1121996411</c:v>
                </c:pt>
                <c:pt idx="149">
                  <c:v>1121996411</c:v>
                </c:pt>
                <c:pt idx="150">
                  <c:v>1121996411</c:v>
                </c:pt>
                <c:pt idx="151">
                  <c:v>1121996411</c:v>
                </c:pt>
                <c:pt idx="152">
                  <c:v>1121996411</c:v>
                </c:pt>
                <c:pt idx="153">
                  <c:v>1121996411</c:v>
                </c:pt>
                <c:pt idx="154">
                  <c:v>1121996411</c:v>
                </c:pt>
                <c:pt idx="155">
                  <c:v>1121996411</c:v>
                </c:pt>
                <c:pt idx="156">
                  <c:v>1121996411</c:v>
                </c:pt>
                <c:pt idx="157">
                  <c:v>1121996411</c:v>
                </c:pt>
                <c:pt idx="158">
                  <c:v>1121996411</c:v>
                </c:pt>
                <c:pt idx="159">
                  <c:v>1121996411</c:v>
                </c:pt>
                <c:pt idx="160">
                  <c:v>1121996411</c:v>
                </c:pt>
                <c:pt idx="161">
                  <c:v>1121996411</c:v>
                </c:pt>
                <c:pt idx="162">
                  <c:v>1121996411</c:v>
                </c:pt>
                <c:pt idx="163">
                  <c:v>1121996411</c:v>
                </c:pt>
                <c:pt idx="164">
                  <c:v>1121996411</c:v>
                </c:pt>
                <c:pt idx="165">
                  <c:v>1121996411</c:v>
                </c:pt>
                <c:pt idx="166">
                  <c:v>1121996411</c:v>
                </c:pt>
                <c:pt idx="167">
                  <c:v>1121996411</c:v>
                </c:pt>
                <c:pt idx="168">
                  <c:v>1121996411</c:v>
                </c:pt>
                <c:pt idx="169">
                  <c:v>1121996411</c:v>
                </c:pt>
                <c:pt idx="170">
                  <c:v>1121996411</c:v>
                </c:pt>
                <c:pt idx="171">
                  <c:v>1121996411</c:v>
                </c:pt>
                <c:pt idx="172">
                  <c:v>1121996411</c:v>
                </c:pt>
                <c:pt idx="173">
                  <c:v>1121996411</c:v>
                </c:pt>
                <c:pt idx="174">
                  <c:v>1128297058</c:v>
                </c:pt>
                <c:pt idx="175">
                  <c:v>1128297058</c:v>
                </c:pt>
                <c:pt idx="176">
                  <c:v>1128297058</c:v>
                </c:pt>
                <c:pt idx="177">
                  <c:v>1128297058</c:v>
                </c:pt>
                <c:pt idx="178">
                  <c:v>1128297058</c:v>
                </c:pt>
                <c:pt idx="179">
                  <c:v>1128297058</c:v>
                </c:pt>
                <c:pt idx="180">
                  <c:v>1128451608</c:v>
                </c:pt>
                <c:pt idx="181">
                  <c:v>1128451608</c:v>
                </c:pt>
                <c:pt idx="182">
                  <c:v>1128451608</c:v>
                </c:pt>
                <c:pt idx="183">
                  <c:v>1128451608</c:v>
                </c:pt>
                <c:pt idx="184">
                  <c:v>1128451608</c:v>
                </c:pt>
                <c:pt idx="185">
                  <c:v>1128451608</c:v>
                </c:pt>
                <c:pt idx="186">
                  <c:v>1128451608</c:v>
                </c:pt>
                <c:pt idx="187">
                  <c:v>1128451608</c:v>
                </c:pt>
                <c:pt idx="188">
                  <c:v>1128451608</c:v>
                </c:pt>
                <c:pt idx="189">
                  <c:v>1128451608</c:v>
                </c:pt>
                <c:pt idx="190">
                  <c:v>1128451608</c:v>
                </c:pt>
                <c:pt idx="191">
                  <c:v>1128451608</c:v>
                </c:pt>
                <c:pt idx="192">
                  <c:v>1128451608</c:v>
                </c:pt>
                <c:pt idx="193">
                  <c:v>1128451608</c:v>
                </c:pt>
                <c:pt idx="194">
                  <c:v>1128451608</c:v>
                </c:pt>
                <c:pt idx="195">
                  <c:v>1128451608</c:v>
                </c:pt>
                <c:pt idx="196">
                  <c:v>1128451608</c:v>
                </c:pt>
                <c:pt idx="197">
                  <c:v>1128451608</c:v>
                </c:pt>
                <c:pt idx="198">
                  <c:v>1128451608</c:v>
                </c:pt>
                <c:pt idx="199">
                  <c:v>1128451608</c:v>
                </c:pt>
                <c:pt idx="200">
                  <c:v>1128451608</c:v>
                </c:pt>
                <c:pt idx="201">
                  <c:v>1128451608</c:v>
                </c:pt>
                <c:pt idx="202">
                  <c:v>1128451608</c:v>
                </c:pt>
                <c:pt idx="203">
                  <c:v>1128451608</c:v>
                </c:pt>
                <c:pt idx="204">
                  <c:v>1128451608</c:v>
                </c:pt>
                <c:pt idx="205">
                  <c:v>1128451608</c:v>
                </c:pt>
                <c:pt idx="206">
                  <c:v>1128451608</c:v>
                </c:pt>
                <c:pt idx="207">
                  <c:v>1128548275</c:v>
                </c:pt>
                <c:pt idx="208">
                  <c:v>1128548275</c:v>
                </c:pt>
                <c:pt idx="209">
                  <c:v>1128548275</c:v>
                </c:pt>
                <c:pt idx="210">
                  <c:v>1128548275</c:v>
                </c:pt>
                <c:pt idx="211">
                  <c:v>1128548275</c:v>
                </c:pt>
                <c:pt idx="212">
                  <c:v>1128548275</c:v>
                </c:pt>
                <c:pt idx="213">
                  <c:v>1128548275</c:v>
                </c:pt>
                <c:pt idx="214">
                  <c:v>1128548275</c:v>
                </c:pt>
                <c:pt idx="215">
                  <c:v>1128548275</c:v>
                </c:pt>
                <c:pt idx="216">
                  <c:v>1128548275</c:v>
                </c:pt>
                <c:pt idx="217">
                  <c:v>1128548275</c:v>
                </c:pt>
                <c:pt idx="218">
                  <c:v>1128548275</c:v>
                </c:pt>
                <c:pt idx="219">
                  <c:v>1128548275</c:v>
                </c:pt>
                <c:pt idx="220">
                  <c:v>1128548275</c:v>
                </c:pt>
                <c:pt idx="221">
                  <c:v>1128548275</c:v>
                </c:pt>
                <c:pt idx="222">
                  <c:v>1128548275</c:v>
                </c:pt>
                <c:pt idx="223">
                  <c:v>1128548275</c:v>
                </c:pt>
                <c:pt idx="224">
                  <c:v>1128548275</c:v>
                </c:pt>
                <c:pt idx="225">
                  <c:v>1128548275</c:v>
                </c:pt>
                <c:pt idx="226">
                  <c:v>1128548275</c:v>
                </c:pt>
                <c:pt idx="227">
                  <c:v>1128548275</c:v>
                </c:pt>
                <c:pt idx="228">
                  <c:v>1128548275</c:v>
                </c:pt>
                <c:pt idx="229">
                  <c:v>1128548275</c:v>
                </c:pt>
                <c:pt idx="230">
                  <c:v>1128548275</c:v>
                </c:pt>
                <c:pt idx="231">
                  <c:v>1128548275</c:v>
                </c:pt>
                <c:pt idx="232">
                  <c:v>1128548275</c:v>
                </c:pt>
                <c:pt idx="233">
                  <c:v>1128548275</c:v>
                </c:pt>
                <c:pt idx="234">
                  <c:v>1128548275</c:v>
                </c:pt>
                <c:pt idx="235">
                  <c:v>1128548275</c:v>
                </c:pt>
                <c:pt idx="236">
                  <c:v>1128548275</c:v>
                </c:pt>
                <c:pt idx="237">
                  <c:v>1128548275</c:v>
                </c:pt>
                <c:pt idx="238">
                  <c:v>1128548275</c:v>
                </c:pt>
                <c:pt idx="239">
                  <c:v>1128664943</c:v>
                </c:pt>
                <c:pt idx="240">
                  <c:v>1128664943</c:v>
                </c:pt>
                <c:pt idx="241">
                  <c:v>1128664943</c:v>
                </c:pt>
                <c:pt idx="242">
                  <c:v>1128664943</c:v>
                </c:pt>
                <c:pt idx="243">
                  <c:v>1128664943</c:v>
                </c:pt>
                <c:pt idx="244">
                  <c:v>1128664943</c:v>
                </c:pt>
                <c:pt idx="245">
                  <c:v>1128664943</c:v>
                </c:pt>
                <c:pt idx="246">
                  <c:v>1128664943</c:v>
                </c:pt>
                <c:pt idx="247">
                  <c:v>1128664943</c:v>
                </c:pt>
                <c:pt idx="248">
                  <c:v>1128664943</c:v>
                </c:pt>
                <c:pt idx="249">
                  <c:v>1128664943</c:v>
                </c:pt>
                <c:pt idx="250">
                  <c:v>1128664943</c:v>
                </c:pt>
                <c:pt idx="251">
                  <c:v>1128664943</c:v>
                </c:pt>
                <c:pt idx="252">
                  <c:v>1128664943</c:v>
                </c:pt>
                <c:pt idx="253">
                  <c:v>1128664943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F6-5C46-9CBD-D4C829B61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2466191"/>
        <c:axId val="867151007"/>
      </c:barChart>
      <c:lineChart>
        <c:grouping val="standard"/>
        <c:varyColors val="0"/>
        <c:ser>
          <c:idx val="0"/>
          <c:order val="0"/>
          <c:tx>
            <c:strRef>
              <c:f>'capital vs issued shares'!$G$1</c:f>
              <c:strCache>
                <c:ptCount val="1"/>
                <c:pt idx="0">
                  <c:v>Market Capitalisation($m)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'capital vs issued shares'!$A$2:$A$255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'capital vs issued shares'!$G$2:$G$255</c:f>
              <c:numCache>
                <c:formatCode>#,##0.00##</c:formatCode>
                <c:ptCount val="254"/>
                <c:pt idx="0">
                  <c:v>1913.76</c:v>
                </c:pt>
                <c:pt idx="1">
                  <c:v>1858.77</c:v>
                </c:pt>
                <c:pt idx="2">
                  <c:v>1787.28</c:v>
                </c:pt>
                <c:pt idx="3">
                  <c:v>1787.28</c:v>
                </c:pt>
                <c:pt idx="4">
                  <c:v>1792.78</c:v>
                </c:pt>
                <c:pt idx="5">
                  <c:v>1765.28</c:v>
                </c:pt>
                <c:pt idx="6">
                  <c:v>1748.78</c:v>
                </c:pt>
                <c:pt idx="7">
                  <c:v>1776.28</c:v>
                </c:pt>
                <c:pt idx="8">
                  <c:v>1781.78</c:v>
                </c:pt>
                <c:pt idx="9">
                  <c:v>1803.77</c:v>
                </c:pt>
                <c:pt idx="10">
                  <c:v>1814.77</c:v>
                </c:pt>
                <c:pt idx="11">
                  <c:v>1781.78</c:v>
                </c:pt>
                <c:pt idx="12">
                  <c:v>1748.78</c:v>
                </c:pt>
                <c:pt idx="13">
                  <c:v>1765.28</c:v>
                </c:pt>
                <c:pt idx="14">
                  <c:v>1765.28</c:v>
                </c:pt>
                <c:pt idx="15">
                  <c:v>1682.79</c:v>
                </c:pt>
                <c:pt idx="16">
                  <c:v>1743.28</c:v>
                </c:pt>
                <c:pt idx="17">
                  <c:v>1721.28</c:v>
                </c:pt>
                <c:pt idx="18">
                  <c:v>1710.29</c:v>
                </c:pt>
                <c:pt idx="19">
                  <c:v>1759.78</c:v>
                </c:pt>
                <c:pt idx="20">
                  <c:v>1787.28</c:v>
                </c:pt>
                <c:pt idx="21">
                  <c:v>1765.28</c:v>
                </c:pt>
                <c:pt idx="22">
                  <c:v>1864.27</c:v>
                </c:pt>
                <c:pt idx="23">
                  <c:v>1765.28</c:v>
                </c:pt>
                <c:pt idx="24">
                  <c:v>1743.28</c:v>
                </c:pt>
                <c:pt idx="25">
                  <c:v>1765.28</c:v>
                </c:pt>
                <c:pt idx="26">
                  <c:v>1770.78</c:v>
                </c:pt>
                <c:pt idx="27">
                  <c:v>1749.98</c:v>
                </c:pt>
                <c:pt idx="28">
                  <c:v>1727.54</c:v>
                </c:pt>
                <c:pt idx="29">
                  <c:v>1761.19</c:v>
                </c:pt>
                <c:pt idx="30">
                  <c:v>1705.11</c:v>
                </c:pt>
                <c:pt idx="31">
                  <c:v>1688.28</c:v>
                </c:pt>
                <c:pt idx="32">
                  <c:v>1710.71</c:v>
                </c:pt>
                <c:pt idx="33">
                  <c:v>1710.71</c:v>
                </c:pt>
                <c:pt idx="34">
                  <c:v>1727.54</c:v>
                </c:pt>
                <c:pt idx="35">
                  <c:v>1755.59</c:v>
                </c:pt>
                <c:pt idx="36">
                  <c:v>1744.37</c:v>
                </c:pt>
                <c:pt idx="37">
                  <c:v>1749.98</c:v>
                </c:pt>
                <c:pt idx="38">
                  <c:v>1806.31</c:v>
                </c:pt>
                <c:pt idx="39">
                  <c:v>1761.44</c:v>
                </c:pt>
                <c:pt idx="40">
                  <c:v>1767.05</c:v>
                </c:pt>
                <c:pt idx="41">
                  <c:v>1716.56</c:v>
                </c:pt>
                <c:pt idx="42">
                  <c:v>1772.65</c:v>
                </c:pt>
                <c:pt idx="43">
                  <c:v>1907.29</c:v>
                </c:pt>
                <c:pt idx="44">
                  <c:v>2047.53</c:v>
                </c:pt>
                <c:pt idx="45">
                  <c:v>2081.19</c:v>
                </c:pt>
                <c:pt idx="46">
                  <c:v>2151.31</c:v>
                </c:pt>
                <c:pt idx="47">
                  <c:v>2086.8000000000002</c:v>
                </c:pt>
                <c:pt idx="48">
                  <c:v>2098.02</c:v>
                </c:pt>
                <c:pt idx="49">
                  <c:v>2126.06</c:v>
                </c:pt>
                <c:pt idx="50">
                  <c:v>2120.4499999999998</c:v>
                </c:pt>
                <c:pt idx="51">
                  <c:v>2126.06</c:v>
                </c:pt>
                <c:pt idx="52">
                  <c:v>2154.11</c:v>
                </c:pt>
                <c:pt idx="53">
                  <c:v>2092.41</c:v>
                </c:pt>
                <c:pt idx="54">
                  <c:v>2114.84</c:v>
                </c:pt>
                <c:pt idx="55">
                  <c:v>2109.23</c:v>
                </c:pt>
                <c:pt idx="56">
                  <c:v>2154.11</c:v>
                </c:pt>
                <c:pt idx="57">
                  <c:v>2019.48</c:v>
                </c:pt>
                <c:pt idx="58">
                  <c:v>2019.48</c:v>
                </c:pt>
                <c:pt idx="59">
                  <c:v>1974.6</c:v>
                </c:pt>
                <c:pt idx="60">
                  <c:v>2025.09</c:v>
                </c:pt>
                <c:pt idx="61">
                  <c:v>2081.19</c:v>
                </c:pt>
                <c:pt idx="62">
                  <c:v>2170.94</c:v>
                </c:pt>
                <c:pt idx="63">
                  <c:v>2137.2800000000002</c:v>
                </c:pt>
                <c:pt idx="64">
                  <c:v>2142.89</c:v>
                </c:pt>
                <c:pt idx="65">
                  <c:v>2081.19</c:v>
                </c:pt>
                <c:pt idx="66">
                  <c:v>2182.16</c:v>
                </c:pt>
                <c:pt idx="67">
                  <c:v>2187.77</c:v>
                </c:pt>
                <c:pt idx="68">
                  <c:v>2182.16</c:v>
                </c:pt>
                <c:pt idx="69">
                  <c:v>2148.5</c:v>
                </c:pt>
                <c:pt idx="70">
                  <c:v>2227.04</c:v>
                </c:pt>
                <c:pt idx="71">
                  <c:v>2126.06</c:v>
                </c:pt>
                <c:pt idx="72">
                  <c:v>2069.9699999999998</c:v>
                </c:pt>
                <c:pt idx="73">
                  <c:v>2109.23</c:v>
                </c:pt>
                <c:pt idx="74">
                  <c:v>2047.53</c:v>
                </c:pt>
                <c:pt idx="75">
                  <c:v>2103.63</c:v>
                </c:pt>
                <c:pt idx="76">
                  <c:v>2058.75</c:v>
                </c:pt>
                <c:pt idx="77">
                  <c:v>1957.77</c:v>
                </c:pt>
                <c:pt idx="78">
                  <c:v>1980.21</c:v>
                </c:pt>
                <c:pt idx="79">
                  <c:v>1968.99</c:v>
                </c:pt>
                <c:pt idx="80">
                  <c:v>1985.82</c:v>
                </c:pt>
                <c:pt idx="81">
                  <c:v>1974.6</c:v>
                </c:pt>
                <c:pt idx="82">
                  <c:v>1884.85</c:v>
                </c:pt>
                <c:pt idx="83">
                  <c:v>1907.29</c:v>
                </c:pt>
                <c:pt idx="84">
                  <c:v>1907.29</c:v>
                </c:pt>
                <c:pt idx="85">
                  <c:v>1918.51</c:v>
                </c:pt>
                <c:pt idx="86">
                  <c:v>2008.26</c:v>
                </c:pt>
                <c:pt idx="87">
                  <c:v>2013.87</c:v>
                </c:pt>
                <c:pt idx="88">
                  <c:v>1985.82</c:v>
                </c:pt>
                <c:pt idx="89">
                  <c:v>2036.31</c:v>
                </c:pt>
                <c:pt idx="90">
                  <c:v>2047.53</c:v>
                </c:pt>
                <c:pt idx="91">
                  <c:v>2069.9699999999998</c:v>
                </c:pt>
                <c:pt idx="92">
                  <c:v>2036.31</c:v>
                </c:pt>
                <c:pt idx="93">
                  <c:v>2103.63</c:v>
                </c:pt>
                <c:pt idx="94">
                  <c:v>2098.02</c:v>
                </c:pt>
                <c:pt idx="95">
                  <c:v>2148.5</c:v>
                </c:pt>
                <c:pt idx="96">
                  <c:v>2154.11</c:v>
                </c:pt>
                <c:pt idx="97">
                  <c:v>2120.4499999999998</c:v>
                </c:pt>
                <c:pt idx="98">
                  <c:v>2008.26</c:v>
                </c:pt>
                <c:pt idx="99">
                  <c:v>1997.04</c:v>
                </c:pt>
                <c:pt idx="100">
                  <c:v>2081.19</c:v>
                </c:pt>
                <c:pt idx="101">
                  <c:v>2075.58</c:v>
                </c:pt>
                <c:pt idx="102">
                  <c:v>2142.89</c:v>
                </c:pt>
                <c:pt idx="103">
                  <c:v>2019.48</c:v>
                </c:pt>
                <c:pt idx="104">
                  <c:v>2103.63</c:v>
                </c:pt>
                <c:pt idx="105">
                  <c:v>2036.31</c:v>
                </c:pt>
                <c:pt idx="106">
                  <c:v>2041.92</c:v>
                </c:pt>
                <c:pt idx="107">
                  <c:v>2053.14</c:v>
                </c:pt>
                <c:pt idx="108">
                  <c:v>2154.11</c:v>
                </c:pt>
                <c:pt idx="109">
                  <c:v>2232.65</c:v>
                </c:pt>
                <c:pt idx="110">
                  <c:v>2036.31</c:v>
                </c:pt>
                <c:pt idx="111">
                  <c:v>2013.87</c:v>
                </c:pt>
                <c:pt idx="112">
                  <c:v>1997.04</c:v>
                </c:pt>
                <c:pt idx="113">
                  <c:v>1935.34</c:v>
                </c:pt>
                <c:pt idx="114">
                  <c:v>1980.21</c:v>
                </c:pt>
                <c:pt idx="115">
                  <c:v>1980.21</c:v>
                </c:pt>
                <c:pt idx="116">
                  <c:v>2030.7</c:v>
                </c:pt>
                <c:pt idx="117">
                  <c:v>2030.7</c:v>
                </c:pt>
                <c:pt idx="118">
                  <c:v>2120.4499999999998</c:v>
                </c:pt>
                <c:pt idx="119">
                  <c:v>2053.14</c:v>
                </c:pt>
                <c:pt idx="120">
                  <c:v>2053.14</c:v>
                </c:pt>
                <c:pt idx="121">
                  <c:v>1963.38</c:v>
                </c:pt>
                <c:pt idx="122">
                  <c:v>1940.94</c:v>
                </c:pt>
                <c:pt idx="123">
                  <c:v>1968.99</c:v>
                </c:pt>
                <c:pt idx="124">
                  <c:v>1980.21</c:v>
                </c:pt>
                <c:pt idx="125">
                  <c:v>1974.6</c:v>
                </c:pt>
                <c:pt idx="126">
                  <c:v>2013.87</c:v>
                </c:pt>
                <c:pt idx="127">
                  <c:v>2092.41</c:v>
                </c:pt>
                <c:pt idx="128">
                  <c:v>2126.06</c:v>
                </c:pt>
                <c:pt idx="129">
                  <c:v>2109.23</c:v>
                </c:pt>
                <c:pt idx="130">
                  <c:v>2126.06</c:v>
                </c:pt>
                <c:pt idx="131">
                  <c:v>2109.23</c:v>
                </c:pt>
                <c:pt idx="132">
                  <c:v>2193.38</c:v>
                </c:pt>
                <c:pt idx="133">
                  <c:v>2322.4</c:v>
                </c:pt>
                <c:pt idx="134">
                  <c:v>2378.5</c:v>
                </c:pt>
                <c:pt idx="135">
                  <c:v>2412.29</c:v>
                </c:pt>
                <c:pt idx="136">
                  <c:v>2423.5100000000002</c:v>
                </c:pt>
                <c:pt idx="137">
                  <c:v>2412.29</c:v>
                </c:pt>
                <c:pt idx="138">
                  <c:v>2412.29</c:v>
                </c:pt>
                <c:pt idx="139">
                  <c:v>2434.73</c:v>
                </c:pt>
                <c:pt idx="140">
                  <c:v>2378.63</c:v>
                </c:pt>
                <c:pt idx="141">
                  <c:v>2434.73</c:v>
                </c:pt>
                <c:pt idx="142">
                  <c:v>2378.63</c:v>
                </c:pt>
                <c:pt idx="143">
                  <c:v>2322.5300000000002</c:v>
                </c:pt>
                <c:pt idx="144">
                  <c:v>2311.31</c:v>
                </c:pt>
                <c:pt idx="145">
                  <c:v>2266.4299999999998</c:v>
                </c:pt>
                <c:pt idx="146">
                  <c:v>2344.9699999999998</c:v>
                </c:pt>
                <c:pt idx="147">
                  <c:v>2367.41</c:v>
                </c:pt>
                <c:pt idx="148">
                  <c:v>2378.63</c:v>
                </c:pt>
                <c:pt idx="149">
                  <c:v>2333.75</c:v>
                </c:pt>
                <c:pt idx="150">
                  <c:v>2266.4299999999998</c:v>
                </c:pt>
                <c:pt idx="151">
                  <c:v>2277.65</c:v>
                </c:pt>
                <c:pt idx="152">
                  <c:v>2227.16</c:v>
                </c:pt>
                <c:pt idx="153">
                  <c:v>2311.31</c:v>
                </c:pt>
                <c:pt idx="154">
                  <c:v>2288.87</c:v>
                </c:pt>
                <c:pt idx="155">
                  <c:v>2479.61</c:v>
                </c:pt>
                <c:pt idx="156">
                  <c:v>2468.39</c:v>
                </c:pt>
                <c:pt idx="157">
                  <c:v>2445.9499999999998</c:v>
                </c:pt>
                <c:pt idx="158">
                  <c:v>2468.39</c:v>
                </c:pt>
                <c:pt idx="159">
                  <c:v>2434.73</c:v>
                </c:pt>
                <c:pt idx="160">
                  <c:v>2445.9499999999998</c:v>
                </c:pt>
                <c:pt idx="161">
                  <c:v>2479.61</c:v>
                </c:pt>
                <c:pt idx="162">
                  <c:v>2490.83</c:v>
                </c:pt>
                <c:pt idx="163">
                  <c:v>2468.39</c:v>
                </c:pt>
                <c:pt idx="164">
                  <c:v>2468.39</c:v>
                </c:pt>
                <c:pt idx="165">
                  <c:v>2457.17</c:v>
                </c:pt>
                <c:pt idx="166">
                  <c:v>2457.17</c:v>
                </c:pt>
                <c:pt idx="167">
                  <c:v>2401.0700000000002</c:v>
                </c:pt>
                <c:pt idx="168">
                  <c:v>2546.9299999999998</c:v>
                </c:pt>
                <c:pt idx="169">
                  <c:v>2468.39</c:v>
                </c:pt>
                <c:pt idx="170">
                  <c:v>2457.17</c:v>
                </c:pt>
                <c:pt idx="171">
                  <c:v>2322.5300000000002</c:v>
                </c:pt>
                <c:pt idx="172">
                  <c:v>2401.0700000000002</c:v>
                </c:pt>
                <c:pt idx="173">
                  <c:v>2445.9499999999998</c:v>
                </c:pt>
                <c:pt idx="174">
                  <c:v>2335.5700000000002</c:v>
                </c:pt>
                <c:pt idx="175">
                  <c:v>2380.71</c:v>
                </c:pt>
                <c:pt idx="176">
                  <c:v>2380.71</c:v>
                </c:pt>
                <c:pt idx="177">
                  <c:v>2425.84</c:v>
                </c:pt>
                <c:pt idx="178">
                  <c:v>2482.25</c:v>
                </c:pt>
                <c:pt idx="179">
                  <c:v>2448.4</c:v>
                </c:pt>
                <c:pt idx="180">
                  <c:v>2381.0300000000002</c:v>
                </c:pt>
                <c:pt idx="181">
                  <c:v>2369.75</c:v>
                </c:pt>
                <c:pt idx="182">
                  <c:v>2392.3200000000002</c:v>
                </c:pt>
                <c:pt idx="183">
                  <c:v>2381.0300000000002</c:v>
                </c:pt>
                <c:pt idx="184">
                  <c:v>2381.0300000000002</c:v>
                </c:pt>
                <c:pt idx="185">
                  <c:v>2335.89</c:v>
                </c:pt>
                <c:pt idx="186">
                  <c:v>2369.75</c:v>
                </c:pt>
                <c:pt idx="187">
                  <c:v>2426.17</c:v>
                </c:pt>
                <c:pt idx="188">
                  <c:v>2426.17</c:v>
                </c:pt>
                <c:pt idx="189">
                  <c:v>2324.61</c:v>
                </c:pt>
                <c:pt idx="190">
                  <c:v>2302.04</c:v>
                </c:pt>
                <c:pt idx="191">
                  <c:v>2358.46</c:v>
                </c:pt>
                <c:pt idx="192">
                  <c:v>2279.4699999999998</c:v>
                </c:pt>
                <c:pt idx="193">
                  <c:v>2302.04</c:v>
                </c:pt>
                <c:pt idx="194">
                  <c:v>2279.4699999999998</c:v>
                </c:pt>
                <c:pt idx="195">
                  <c:v>2268.19</c:v>
                </c:pt>
                <c:pt idx="196">
                  <c:v>2251.2600000000002</c:v>
                </c:pt>
                <c:pt idx="197">
                  <c:v>2290.7600000000002</c:v>
                </c:pt>
                <c:pt idx="198">
                  <c:v>2335.89</c:v>
                </c:pt>
                <c:pt idx="199">
                  <c:v>2313.33</c:v>
                </c:pt>
                <c:pt idx="200">
                  <c:v>2347.1799999999998</c:v>
                </c:pt>
                <c:pt idx="201">
                  <c:v>2471.31</c:v>
                </c:pt>
                <c:pt idx="202">
                  <c:v>2618.0100000000002</c:v>
                </c:pt>
                <c:pt idx="203">
                  <c:v>2595.44</c:v>
                </c:pt>
                <c:pt idx="204">
                  <c:v>2787.28</c:v>
                </c:pt>
                <c:pt idx="205">
                  <c:v>2809.84</c:v>
                </c:pt>
                <c:pt idx="206">
                  <c:v>2888.84</c:v>
                </c:pt>
                <c:pt idx="207">
                  <c:v>2810.09</c:v>
                </c:pt>
                <c:pt idx="208">
                  <c:v>2855.23</c:v>
                </c:pt>
                <c:pt idx="209">
                  <c:v>2753.66</c:v>
                </c:pt>
                <c:pt idx="210">
                  <c:v>2787.51</c:v>
                </c:pt>
                <c:pt idx="211">
                  <c:v>2753.66</c:v>
                </c:pt>
                <c:pt idx="212">
                  <c:v>2764.94</c:v>
                </c:pt>
                <c:pt idx="213">
                  <c:v>2640.8</c:v>
                </c:pt>
                <c:pt idx="214">
                  <c:v>2618.23</c:v>
                </c:pt>
                <c:pt idx="215">
                  <c:v>2550.52</c:v>
                </c:pt>
                <c:pt idx="216">
                  <c:v>2516.66</c:v>
                </c:pt>
                <c:pt idx="217">
                  <c:v>2415.09</c:v>
                </c:pt>
                <c:pt idx="218">
                  <c:v>2527.9499999999998</c:v>
                </c:pt>
                <c:pt idx="219">
                  <c:v>2629.52</c:v>
                </c:pt>
                <c:pt idx="220">
                  <c:v>2595.66</c:v>
                </c:pt>
                <c:pt idx="221">
                  <c:v>2595.66</c:v>
                </c:pt>
                <c:pt idx="222">
                  <c:v>2516.66</c:v>
                </c:pt>
                <c:pt idx="223">
                  <c:v>2561.8000000000002</c:v>
                </c:pt>
                <c:pt idx="224">
                  <c:v>2606.9499999999998</c:v>
                </c:pt>
                <c:pt idx="225">
                  <c:v>2731.09</c:v>
                </c:pt>
                <c:pt idx="226">
                  <c:v>2787.51</c:v>
                </c:pt>
                <c:pt idx="227">
                  <c:v>2798.8</c:v>
                </c:pt>
                <c:pt idx="228">
                  <c:v>2821.37</c:v>
                </c:pt>
                <c:pt idx="229">
                  <c:v>2798.8</c:v>
                </c:pt>
                <c:pt idx="230">
                  <c:v>2742.37</c:v>
                </c:pt>
                <c:pt idx="231">
                  <c:v>2843.94</c:v>
                </c:pt>
                <c:pt idx="232">
                  <c:v>2843.94</c:v>
                </c:pt>
                <c:pt idx="233">
                  <c:v>2855.23</c:v>
                </c:pt>
                <c:pt idx="234">
                  <c:v>2810.09</c:v>
                </c:pt>
                <c:pt idx="235">
                  <c:v>2742.37</c:v>
                </c:pt>
                <c:pt idx="236">
                  <c:v>2719.8</c:v>
                </c:pt>
                <c:pt idx="237">
                  <c:v>2968.08</c:v>
                </c:pt>
                <c:pt idx="238">
                  <c:v>2956.8</c:v>
                </c:pt>
                <c:pt idx="239">
                  <c:v>3013.54</c:v>
                </c:pt>
                <c:pt idx="240">
                  <c:v>3092.54</c:v>
                </c:pt>
                <c:pt idx="241">
                  <c:v>3126.4</c:v>
                </c:pt>
                <c:pt idx="242">
                  <c:v>3092.54</c:v>
                </c:pt>
                <c:pt idx="243">
                  <c:v>3058.68</c:v>
                </c:pt>
                <c:pt idx="244">
                  <c:v>2945.82</c:v>
                </c:pt>
                <c:pt idx="245">
                  <c:v>2968.39</c:v>
                </c:pt>
                <c:pt idx="246">
                  <c:v>2923.24</c:v>
                </c:pt>
                <c:pt idx="247">
                  <c:v>2866.81</c:v>
                </c:pt>
                <c:pt idx="248">
                  <c:v>2821.66</c:v>
                </c:pt>
                <c:pt idx="249">
                  <c:v>2866.81</c:v>
                </c:pt>
                <c:pt idx="250">
                  <c:v>2855.52</c:v>
                </c:pt>
                <c:pt idx="251">
                  <c:v>2878.1</c:v>
                </c:pt>
                <c:pt idx="252">
                  <c:v>2844.24</c:v>
                </c:pt>
                <c:pt idx="253">
                  <c:v>2787.8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F6-5C46-9CBD-D4C829B61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1844543"/>
        <c:axId val="50373232"/>
      </c:lineChart>
      <c:catAx>
        <c:axId val="862466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7151007"/>
        <c:crosses val="autoZero"/>
        <c:auto val="1"/>
        <c:lblAlgn val="ctr"/>
        <c:lblOffset val="100"/>
        <c:noMultiLvlLbl val="0"/>
      </c:catAx>
      <c:valAx>
        <c:axId val="867151007"/>
        <c:scaling>
          <c:orientation val="minMax"/>
          <c:max val="1166000000"/>
          <c:min val="1085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##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466191"/>
        <c:crosses val="autoZero"/>
        <c:crossBetween val="between"/>
      </c:valAx>
      <c:valAx>
        <c:axId val="50373232"/>
        <c:scaling>
          <c:orientation val="minMax"/>
          <c:max val="3500"/>
          <c:min val="0"/>
        </c:scaling>
        <c:delete val="0"/>
        <c:axPos val="r"/>
        <c:numFmt formatCode="#,##0.00##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44543"/>
        <c:crosses val="max"/>
        <c:crossBetween val="between"/>
      </c:valAx>
      <c:catAx>
        <c:axId val="19718445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373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Yield</a:t>
            </a:r>
            <a:r>
              <a:rPr lang="en-GB" baseline="0"/>
              <a:t> Analysis</a:t>
            </a:r>
          </a:p>
          <a:p>
            <a:pPr>
              <a:defRPr/>
            </a:pP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'yield analysis'!$G$1</c:f>
              <c:strCache>
                <c:ptCount val="1"/>
                <c:pt idx="0">
                  <c:v>Total Returns(%)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'yield analysis'!$A$2:$A$255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'yield analysis'!$G$2:$G$255</c:f>
              <c:numCache>
                <c:formatCode>0.00</c:formatCode>
                <c:ptCount val="254"/>
                <c:pt idx="0">
                  <c:v>0</c:v>
                </c:pt>
                <c:pt idx="1">
                  <c:v>-2.8735632183908075</c:v>
                </c:pt>
                <c:pt idx="2">
                  <c:v>-6.6091954022988491</c:v>
                </c:pt>
                <c:pt idx="3">
                  <c:v>-6.6091954022988491</c:v>
                </c:pt>
                <c:pt idx="4">
                  <c:v>-6.3218390804597764</c:v>
                </c:pt>
                <c:pt idx="5">
                  <c:v>-7.7586206896551726</c:v>
                </c:pt>
                <c:pt idx="6">
                  <c:v>-8.6206896551724093</c:v>
                </c:pt>
                <c:pt idx="7">
                  <c:v>-7.1839080459770113</c:v>
                </c:pt>
                <c:pt idx="8">
                  <c:v>-6.8965517241379244</c:v>
                </c:pt>
                <c:pt idx="9">
                  <c:v>-5.7471264367816151</c:v>
                </c:pt>
                <c:pt idx="10">
                  <c:v>-5.1724137931034528</c:v>
                </c:pt>
                <c:pt idx="11">
                  <c:v>-6.8965517241379244</c:v>
                </c:pt>
                <c:pt idx="12">
                  <c:v>-8.6206896551724093</c:v>
                </c:pt>
                <c:pt idx="13">
                  <c:v>-7.7586206896551726</c:v>
                </c:pt>
                <c:pt idx="14">
                  <c:v>-7.7586206896551726</c:v>
                </c:pt>
                <c:pt idx="15">
                  <c:v>-12.068965517241377</c:v>
                </c:pt>
                <c:pt idx="16">
                  <c:v>-8.9080459770114953</c:v>
                </c:pt>
                <c:pt idx="17">
                  <c:v>-10.05747126436782</c:v>
                </c:pt>
                <c:pt idx="18">
                  <c:v>-10.632183908045981</c:v>
                </c:pt>
                <c:pt idx="19">
                  <c:v>-8.0459770114942479</c:v>
                </c:pt>
                <c:pt idx="20">
                  <c:v>-6.6091954022988491</c:v>
                </c:pt>
                <c:pt idx="21">
                  <c:v>-7.7586206896551726</c:v>
                </c:pt>
                <c:pt idx="22">
                  <c:v>-2.5862068965517198</c:v>
                </c:pt>
                <c:pt idx="23">
                  <c:v>-7.7586206896551726</c:v>
                </c:pt>
                <c:pt idx="24">
                  <c:v>-8.9080459770114953</c:v>
                </c:pt>
                <c:pt idx="25">
                  <c:v>-7.7586206896551726</c:v>
                </c:pt>
                <c:pt idx="26">
                  <c:v>-7.4712643678160857</c:v>
                </c:pt>
                <c:pt idx="27">
                  <c:v>-10.344827586206893</c:v>
                </c:pt>
                <c:pt idx="28">
                  <c:v>-11.494252873563216</c:v>
                </c:pt>
                <c:pt idx="29">
                  <c:v>-9.7701149425287319</c:v>
                </c:pt>
                <c:pt idx="30">
                  <c:v>-12.643678160919539</c:v>
                </c:pt>
                <c:pt idx="31">
                  <c:v>-13.505747126436788</c:v>
                </c:pt>
                <c:pt idx="32">
                  <c:v>-12.356321839080465</c:v>
                </c:pt>
                <c:pt idx="33">
                  <c:v>-12.356321839080465</c:v>
                </c:pt>
                <c:pt idx="34">
                  <c:v>-11.494252873563216</c:v>
                </c:pt>
                <c:pt idx="35">
                  <c:v>-10.05747126436782</c:v>
                </c:pt>
                <c:pt idx="36">
                  <c:v>-10.632183908045981</c:v>
                </c:pt>
                <c:pt idx="37">
                  <c:v>-10.344827586206893</c:v>
                </c:pt>
                <c:pt idx="38">
                  <c:v>-7.4712643678160857</c:v>
                </c:pt>
                <c:pt idx="39">
                  <c:v>-9.7701149425287319</c:v>
                </c:pt>
                <c:pt idx="40">
                  <c:v>-9.4827586206896584</c:v>
                </c:pt>
                <c:pt idx="41">
                  <c:v>-12.068965517241377</c:v>
                </c:pt>
                <c:pt idx="42">
                  <c:v>-9.1954022988505706</c:v>
                </c:pt>
                <c:pt idx="43">
                  <c:v>-2.2988505747126458</c:v>
                </c:pt>
                <c:pt idx="44">
                  <c:v>4.885057471264366</c:v>
                </c:pt>
                <c:pt idx="45">
                  <c:v>6.6091954022988491</c:v>
                </c:pt>
                <c:pt idx="46">
                  <c:v>10.17241379310345</c:v>
                </c:pt>
                <c:pt idx="47">
                  <c:v>6.8965517241379377</c:v>
                </c:pt>
                <c:pt idx="48">
                  <c:v>7.4712643678160982</c:v>
                </c:pt>
                <c:pt idx="49">
                  <c:v>8.9080459770114953</c:v>
                </c:pt>
                <c:pt idx="50">
                  <c:v>8.6206896551724093</c:v>
                </c:pt>
                <c:pt idx="51">
                  <c:v>8.9080459770114953</c:v>
                </c:pt>
                <c:pt idx="52">
                  <c:v>10.344827586206893</c:v>
                </c:pt>
                <c:pt idx="53">
                  <c:v>7.1839080459770113</c:v>
                </c:pt>
                <c:pt idx="54">
                  <c:v>8.3333333333333339</c:v>
                </c:pt>
                <c:pt idx="55">
                  <c:v>8.0459770114942479</c:v>
                </c:pt>
                <c:pt idx="56">
                  <c:v>10.344827586206893</c:v>
                </c:pt>
                <c:pt idx="57">
                  <c:v>3.4482758620689689</c:v>
                </c:pt>
                <c:pt idx="58">
                  <c:v>3.4482758620689689</c:v>
                </c:pt>
                <c:pt idx="59">
                  <c:v>1.1494252873563229</c:v>
                </c:pt>
                <c:pt idx="60">
                  <c:v>3.7356321839080429</c:v>
                </c:pt>
                <c:pt idx="61">
                  <c:v>6.6091954022988491</c:v>
                </c:pt>
                <c:pt idx="62">
                  <c:v>11.206896551724141</c:v>
                </c:pt>
                <c:pt idx="63">
                  <c:v>9.4827586206896584</c:v>
                </c:pt>
                <c:pt idx="64">
                  <c:v>9.7701149425287319</c:v>
                </c:pt>
                <c:pt idx="65">
                  <c:v>6.6091954022988491</c:v>
                </c:pt>
                <c:pt idx="66">
                  <c:v>11.781609195402302</c:v>
                </c:pt>
                <c:pt idx="67">
                  <c:v>12.068965517241377</c:v>
                </c:pt>
                <c:pt idx="68">
                  <c:v>11.781609195402302</c:v>
                </c:pt>
                <c:pt idx="69">
                  <c:v>10.05747126436782</c:v>
                </c:pt>
                <c:pt idx="70">
                  <c:v>14.080459770114947</c:v>
                </c:pt>
                <c:pt idx="71">
                  <c:v>8.9080459770114953</c:v>
                </c:pt>
                <c:pt idx="72">
                  <c:v>6.0344827586206886</c:v>
                </c:pt>
                <c:pt idx="73">
                  <c:v>8.0459770114942479</c:v>
                </c:pt>
                <c:pt idx="74">
                  <c:v>4.885057471264366</c:v>
                </c:pt>
                <c:pt idx="75">
                  <c:v>7.7586206896551726</c:v>
                </c:pt>
                <c:pt idx="76">
                  <c:v>5.4597701149425273</c:v>
                </c:pt>
                <c:pt idx="77">
                  <c:v>0.2873563218390871</c:v>
                </c:pt>
                <c:pt idx="78">
                  <c:v>1.4367816091953973</c:v>
                </c:pt>
                <c:pt idx="79">
                  <c:v>0.86206896551723577</c:v>
                </c:pt>
                <c:pt idx="80">
                  <c:v>1.7241379310344844</c:v>
                </c:pt>
                <c:pt idx="81">
                  <c:v>1.1494252873563229</c:v>
                </c:pt>
                <c:pt idx="82">
                  <c:v>-3.4482758620689689</c:v>
                </c:pt>
                <c:pt idx="83">
                  <c:v>-2.2988505747126458</c:v>
                </c:pt>
                <c:pt idx="84">
                  <c:v>-2.2988505747126458</c:v>
                </c:pt>
                <c:pt idx="85">
                  <c:v>-1.7241379310344844</c:v>
                </c:pt>
                <c:pt idx="86">
                  <c:v>2.8735632183908075</c:v>
                </c:pt>
                <c:pt idx="87">
                  <c:v>3.1609195402298811</c:v>
                </c:pt>
                <c:pt idx="88">
                  <c:v>1.7241379310344844</c:v>
                </c:pt>
                <c:pt idx="89">
                  <c:v>4.3103448275862046</c:v>
                </c:pt>
                <c:pt idx="90">
                  <c:v>4.885057471264366</c:v>
                </c:pt>
                <c:pt idx="91">
                  <c:v>6.0344827586206886</c:v>
                </c:pt>
                <c:pt idx="92">
                  <c:v>4.3103448275862046</c:v>
                </c:pt>
                <c:pt idx="93">
                  <c:v>7.7586206896551726</c:v>
                </c:pt>
                <c:pt idx="94">
                  <c:v>7.4712643678160982</c:v>
                </c:pt>
                <c:pt idx="95">
                  <c:v>10.05747126436782</c:v>
                </c:pt>
                <c:pt idx="96">
                  <c:v>10.344827586206893</c:v>
                </c:pt>
                <c:pt idx="97">
                  <c:v>8.6206896551724093</c:v>
                </c:pt>
                <c:pt idx="98">
                  <c:v>2.8735632183908075</c:v>
                </c:pt>
                <c:pt idx="99">
                  <c:v>2.2988505747126458</c:v>
                </c:pt>
                <c:pt idx="100">
                  <c:v>6.6091954022988491</c:v>
                </c:pt>
                <c:pt idx="101">
                  <c:v>6.3218390804597764</c:v>
                </c:pt>
                <c:pt idx="102">
                  <c:v>9.7701149425287319</c:v>
                </c:pt>
                <c:pt idx="103">
                  <c:v>3.4482758620689689</c:v>
                </c:pt>
                <c:pt idx="104">
                  <c:v>7.7586206896551726</c:v>
                </c:pt>
                <c:pt idx="105">
                  <c:v>4.3103448275862046</c:v>
                </c:pt>
                <c:pt idx="106">
                  <c:v>4.5977011494252915</c:v>
                </c:pt>
                <c:pt idx="107">
                  <c:v>5.1724137931034528</c:v>
                </c:pt>
                <c:pt idx="108">
                  <c:v>10.344827586206893</c:v>
                </c:pt>
                <c:pt idx="109">
                  <c:v>14.367816091954023</c:v>
                </c:pt>
                <c:pt idx="110">
                  <c:v>4.3103448275862046</c:v>
                </c:pt>
                <c:pt idx="111">
                  <c:v>3.1609195402298811</c:v>
                </c:pt>
                <c:pt idx="112">
                  <c:v>2.2988505747126458</c:v>
                </c:pt>
                <c:pt idx="113">
                  <c:v>-0.86206896551723577</c:v>
                </c:pt>
                <c:pt idx="114">
                  <c:v>1.4367816091953973</c:v>
                </c:pt>
                <c:pt idx="115">
                  <c:v>1.4367816091953973</c:v>
                </c:pt>
                <c:pt idx="116">
                  <c:v>4.0229885057471302</c:v>
                </c:pt>
                <c:pt idx="117">
                  <c:v>4.0229885057471302</c:v>
                </c:pt>
                <c:pt idx="118">
                  <c:v>8.6206896551724093</c:v>
                </c:pt>
                <c:pt idx="119">
                  <c:v>5.1724137931034528</c:v>
                </c:pt>
                <c:pt idx="120">
                  <c:v>5.1724137931034528</c:v>
                </c:pt>
                <c:pt idx="121">
                  <c:v>0.57471264367816144</c:v>
                </c:pt>
                <c:pt idx="122">
                  <c:v>-0.57471264367816144</c:v>
                </c:pt>
                <c:pt idx="123">
                  <c:v>0.86206896551723577</c:v>
                </c:pt>
                <c:pt idx="124">
                  <c:v>1.4367816091953973</c:v>
                </c:pt>
                <c:pt idx="125">
                  <c:v>1.1494252873563229</c:v>
                </c:pt>
                <c:pt idx="126">
                  <c:v>3.1609195402298811</c:v>
                </c:pt>
                <c:pt idx="127">
                  <c:v>7.1839080459770113</c:v>
                </c:pt>
                <c:pt idx="128">
                  <c:v>8.9080459770114953</c:v>
                </c:pt>
                <c:pt idx="129">
                  <c:v>8.0459770114942479</c:v>
                </c:pt>
                <c:pt idx="130">
                  <c:v>8.9080459770114953</c:v>
                </c:pt>
                <c:pt idx="131">
                  <c:v>8.0459770114942479</c:v>
                </c:pt>
                <c:pt idx="132">
                  <c:v>12.356321839080465</c:v>
                </c:pt>
                <c:pt idx="133">
                  <c:v>18.965517241379303</c:v>
                </c:pt>
                <c:pt idx="134">
                  <c:v>21.839080459770123</c:v>
                </c:pt>
                <c:pt idx="135">
                  <c:v>23.563218390804593</c:v>
                </c:pt>
                <c:pt idx="136">
                  <c:v>24.137931034482769</c:v>
                </c:pt>
                <c:pt idx="137">
                  <c:v>23.563218390804593</c:v>
                </c:pt>
                <c:pt idx="138">
                  <c:v>23.563218390804593</c:v>
                </c:pt>
                <c:pt idx="139">
                  <c:v>24.712643678160916</c:v>
                </c:pt>
                <c:pt idx="140">
                  <c:v>21.839080459770123</c:v>
                </c:pt>
                <c:pt idx="141">
                  <c:v>24.712643678160916</c:v>
                </c:pt>
                <c:pt idx="142">
                  <c:v>21.839080459770123</c:v>
                </c:pt>
                <c:pt idx="143">
                  <c:v>18.965517241379303</c:v>
                </c:pt>
                <c:pt idx="144">
                  <c:v>18.390804597701152</c:v>
                </c:pt>
                <c:pt idx="145">
                  <c:v>16.09195402298851</c:v>
                </c:pt>
                <c:pt idx="146">
                  <c:v>20.114942528735625</c:v>
                </c:pt>
                <c:pt idx="147">
                  <c:v>21.264367816091948</c:v>
                </c:pt>
                <c:pt idx="148">
                  <c:v>21.839080459770123</c:v>
                </c:pt>
                <c:pt idx="149">
                  <c:v>19.540229885057474</c:v>
                </c:pt>
                <c:pt idx="150">
                  <c:v>16.09195402298851</c:v>
                </c:pt>
                <c:pt idx="151">
                  <c:v>16.666666666666657</c:v>
                </c:pt>
                <c:pt idx="152">
                  <c:v>14.080459770114947</c:v>
                </c:pt>
                <c:pt idx="153">
                  <c:v>18.390804597701152</c:v>
                </c:pt>
                <c:pt idx="154">
                  <c:v>17.241379310344833</c:v>
                </c:pt>
                <c:pt idx="155">
                  <c:v>27.011494252873565</c:v>
                </c:pt>
                <c:pt idx="156">
                  <c:v>26.436781609195414</c:v>
                </c:pt>
                <c:pt idx="157">
                  <c:v>25.287356321839088</c:v>
                </c:pt>
                <c:pt idx="158">
                  <c:v>26.436781609195414</c:v>
                </c:pt>
                <c:pt idx="159">
                  <c:v>24.712643678160916</c:v>
                </c:pt>
                <c:pt idx="160">
                  <c:v>25.287356321839088</c:v>
                </c:pt>
                <c:pt idx="161">
                  <c:v>27.011494252873565</c:v>
                </c:pt>
                <c:pt idx="162">
                  <c:v>27.586206896551737</c:v>
                </c:pt>
                <c:pt idx="163">
                  <c:v>26.436781609195414</c:v>
                </c:pt>
                <c:pt idx="164">
                  <c:v>26.436781609195414</c:v>
                </c:pt>
                <c:pt idx="165">
                  <c:v>25.862068965517238</c:v>
                </c:pt>
                <c:pt idx="166">
                  <c:v>25.862068965517238</c:v>
                </c:pt>
                <c:pt idx="167">
                  <c:v>22.988505747126446</c:v>
                </c:pt>
                <c:pt idx="168">
                  <c:v>30.459770114942529</c:v>
                </c:pt>
                <c:pt idx="169">
                  <c:v>26.436781609195414</c:v>
                </c:pt>
                <c:pt idx="170">
                  <c:v>25.862068965517238</c:v>
                </c:pt>
                <c:pt idx="171">
                  <c:v>18.965517241379303</c:v>
                </c:pt>
                <c:pt idx="172">
                  <c:v>22.988505747126446</c:v>
                </c:pt>
                <c:pt idx="173">
                  <c:v>25.287356321839088</c:v>
                </c:pt>
                <c:pt idx="174">
                  <c:v>18.965517241379303</c:v>
                </c:pt>
                <c:pt idx="175">
                  <c:v>21.264367816091948</c:v>
                </c:pt>
                <c:pt idx="176">
                  <c:v>21.264367816091948</c:v>
                </c:pt>
                <c:pt idx="177">
                  <c:v>23.563218390804593</c:v>
                </c:pt>
                <c:pt idx="178">
                  <c:v>26.436781609195414</c:v>
                </c:pt>
                <c:pt idx="179">
                  <c:v>24.712643678160916</c:v>
                </c:pt>
                <c:pt idx="180">
                  <c:v>21.264367816091948</c:v>
                </c:pt>
                <c:pt idx="181">
                  <c:v>20.689655172413797</c:v>
                </c:pt>
                <c:pt idx="182">
                  <c:v>21.839080459770123</c:v>
                </c:pt>
                <c:pt idx="183">
                  <c:v>21.264367816091948</c:v>
                </c:pt>
                <c:pt idx="184">
                  <c:v>21.264367816091948</c:v>
                </c:pt>
                <c:pt idx="185">
                  <c:v>18.965517241379303</c:v>
                </c:pt>
                <c:pt idx="186">
                  <c:v>20.689655172413797</c:v>
                </c:pt>
                <c:pt idx="187">
                  <c:v>23.563218390804593</c:v>
                </c:pt>
                <c:pt idx="188">
                  <c:v>23.563218390804593</c:v>
                </c:pt>
                <c:pt idx="189">
                  <c:v>18.390804597701152</c:v>
                </c:pt>
                <c:pt idx="190">
                  <c:v>17.241379310344833</c:v>
                </c:pt>
                <c:pt idx="191">
                  <c:v>20.114942528735625</c:v>
                </c:pt>
                <c:pt idx="192">
                  <c:v>16.09195402298851</c:v>
                </c:pt>
                <c:pt idx="193">
                  <c:v>17.241379310344833</c:v>
                </c:pt>
                <c:pt idx="194">
                  <c:v>16.09195402298851</c:v>
                </c:pt>
                <c:pt idx="195">
                  <c:v>15.517241379310335</c:v>
                </c:pt>
                <c:pt idx="196">
                  <c:v>14.65517241379311</c:v>
                </c:pt>
                <c:pt idx="197">
                  <c:v>16.666666666666657</c:v>
                </c:pt>
                <c:pt idx="198">
                  <c:v>18.965517241379303</c:v>
                </c:pt>
                <c:pt idx="199">
                  <c:v>17.816091954022976</c:v>
                </c:pt>
                <c:pt idx="200">
                  <c:v>19.540229885057474</c:v>
                </c:pt>
                <c:pt idx="201">
                  <c:v>25.862068965517238</c:v>
                </c:pt>
                <c:pt idx="202">
                  <c:v>33.333333333333329</c:v>
                </c:pt>
                <c:pt idx="203">
                  <c:v>32.183908045976999</c:v>
                </c:pt>
                <c:pt idx="204">
                  <c:v>41.954022988505756</c:v>
                </c:pt>
                <c:pt idx="205">
                  <c:v>43.103448275862085</c:v>
                </c:pt>
                <c:pt idx="206">
                  <c:v>47.1264367816092</c:v>
                </c:pt>
                <c:pt idx="207">
                  <c:v>43.103448275862085</c:v>
                </c:pt>
                <c:pt idx="208">
                  <c:v>45.402298850574702</c:v>
                </c:pt>
                <c:pt idx="209">
                  <c:v>40.229885057471257</c:v>
                </c:pt>
                <c:pt idx="210">
                  <c:v>41.954022988505756</c:v>
                </c:pt>
                <c:pt idx="211">
                  <c:v>40.229885057471257</c:v>
                </c:pt>
                <c:pt idx="212">
                  <c:v>40.804597701149433</c:v>
                </c:pt>
                <c:pt idx="213">
                  <c:v>34.482758620689644</c:v>
                </c:pt>
                <c:pt idx="214">
                  <c:v>33.333333333333329</c:v>
                </c:pt>
                <c:pt idx="215">
                  <c:v>29.885057471264354</c:v>
                </c:pt>
                <c:pt idx="216">
                  <c:v>28.160919540229884</c:v>
                </c:pt>
                <c:pt idx="217">
                  <c:v>22.988505747126446</c:v>
                </c:pt>
                <c:pt idx="218">
                  <c:v>28.735632183908059</c:v>
                </c:pt>
                <c:pt idx="219">
                  <c:v>33.908045977011497</c:v>
                </c:pt>
                <c:pt idx="220">
                  <c:v>32.183908045976999</c:v>
                </c:pt>
                <c:pt idx="221">
                  <c:v>32.183908045976999</c:v>
                </c:pt>
                <c:pt idx="222">
                  <c:v>28.160919540229884</c:v>
                </c:pt>
                <c:pt idx="223">
                  <c:v>30.459770114942529</c:v>
                </c:pt>
                <c:pt idx="224">
                  <c:v>32.758620689655174</c:v>
                </c:pt>
                <c:pt idx="225">
                  <c:v>39.080459770114942</c:v>
                </c:pt>
                <c:pt idx="226">
                  <c:v>41.954022988505756</c:v>
                </c:pt>
                <c:pt idx="227">
                  <c:v>42.528735632183903</c:v>
                </c:pt>
                <c:pt idx="228">
                  <c:v>43.678160919540232</c:v>
                </c:pt>
                <c:pt idx="229">
                  <c:v>42.528735632183903</c:v>
                </c:pt>
                <c:pt idx="230">
                  <c:v>39.655172413793117</c:v>
                </c:pt>
                <c:pt idx="231">
                  <c:v>44.827586206896555</c:v>
                </c:pt>
                <c:pt idx="232">
                  <c:v>44.827586206896555</c:v>
                </c:pt>
                <c:pt idx="233">
                  <c:v>45.402298850574702</c:v>
                </c:pt>
                <c:pt idx="234">
                  <c:v>43.103448275862085</c:v>
                </c:pt>
                <c:pt idx="235">
                  <c:v>39.655172413793117</c:v>
                </c:pt>
                <c:pt idx="236">
                  <c:v>38.505747126436788</c:v>
                </c:pt>
                <c:pt idx="237">
                  <c:v>51.149425287356323</c:v>
                </c:pt>
                <c:pt idx="238">
                  <c:v>50.574712643678168</c:v>
                </c:pt>
                <c:pt idx="239">
                  <c:v>53.448275862068961</c:v>
                </c:pt>
                <c:pt idx="240">
                  <c:v>57.471264367816097</c:v>
                </c:pt>
                <c:pt idx="241">
                  <c:v>59.195402298850574</c:v>
                </c:pt>
                <c:pt idx="242">
                  <c:v>57.471264367816097</c:v>
                </c:pt>
                <c:pt idx="243">
                  <c:v>55.747126436781613</c:v>
                </c:pt>
                <c:pt idx="244">
                  <c:v>49.999999999999993</c:v>
                </c:pt>
                <c:pt idx="245">
                  <c:v>51.149425287356323</c:v>
                </c:pt>
                <c:pt idx="246">
                  <c:v>48.85057471264367</c:v>
                </c:pt>
                <c:pt idx="247">
                  <c:v>45.977011494252878</c:v>
                </c:pt>
                <c:pt idx="248">
                  <c:v>43.678160919540232</c:v>
                </c:pt>
                <c:pt idx="249">
                  <c:v>45.977011494252878</c:v>
                </c:pt>
                <c:pt idx="250">
                  <c:v>45.402298850574702</c:v>
                </c:pt>
                <c:pt idx="251">
                  <c:v>46.551724137931025</c:v>
                </c:pt>
                <c:pt idx="252">
                  <c:v>44.827586206896555</c:v>
                </c:pt>
                <c:pt idx="253">
                  <c:v>41.954022988505756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BF-8746-ACAF-E1A7EF2B2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425231"/>
        <c:axId val="706006239"/>
      </c:barChart>
      <c:lineChart>
        <c:grouping val="standard"/>
        <c:varyColors val="0"/>
        <c:ser>
          <c:idx val="0"/>
          <c:order val="0"/>
          <c:tx>
            <c:strRef>
              <c:f>'yield analysis'!$C$1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40"/>
              <c:layout>
                <c:manualLayout>
                  <c:x val="1.7352253757172834E-3"/>
                  <c:y val="4.19562168706938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3A7-1D4E-9183-E5EA0A3BA9E7}"/>
                </c:ext>
              </c:extLst>
            </c:dLbl>
            <c:dLbl>
              <c:idx val="46"/>
              <c:layout>
                <c:manualLayout>
                  <c:x val="-5.8997662774387671E-2"/>
                  <c:y val="-1.4984363168104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3A7-1D4E-9183-E5EA0A3BA9E7}"/>
                </c:ext>
              </c:extLst>
            </c:dLbl>
            <c:dLbl>
              <c:idx val="109"/>
              <c:layout>
                <c:manualLayout>
                  <c:x val="-4.3380634392932084E-2"/>
                  <c:y val="0.1048905421767347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3A7-1D4E-9183-E5EA0A3BA9E7}"/>
                </c:ext>
              </c:extLst>
            </c:dLbl>
            <c:dLbl>
              <c:idx val="135"/>
              <c:layout>
                <c:manualLayout>
                  <c:x val="-5.8997662774387637E-2"/>
                  <c:y val="-3.59624716034519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3A7-1D4E-9183-E5EA0A3BA9E7}"/>
                </c:ext>
              </c:extLst>
            </c:dLbl>
            <c:dLbl>
              <c:idx val="206"/>
              <c:layout>
                <c:manualLayout>
                  <c:x val="1.7352253757172834E-3"/>
                  <c:y val="-2.39749810689679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3A7-1D4E-9183-E5EA0A3BA9E7}"/>
                </c:ext>
              </c:extLst>
            </c:dLbl>
            <c:dLbl>
              <c:idx val="242"/>
              <c:layout>
                <c:manualLayout>
                  <c:x val="-8.6761268785865448E-3"/>
                  <c:y val="-3.5962471603451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3A7-1D4E-9183-E5EA0A3BA9E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'yield analysis'!$A$2:$A$255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'yield analysis'!$C$2:$C$255</c:f>
              <c:numCache>
                <c:formatCode>_("$"* #,##0.00_);_("$"* \(#,##0.00\);_("$"* "-"??_);_(@_)</c:formatCode>
                <c:ptCount val="254"/>
                <c:pt idx="0">
                  <c:v>1.74</c:v>
                </c:pt>
                <c:pt idx="1">
                  <c:v>1.69</c:v>
                </c:pt>
                <c:pt idx="2">
                  <c:v>1.625</c:v>
                </c:pt>
                <c:pt idx="3">
                  <c:v>1.625</c:v>
                </c:pt>
                <c:pt idx="4">
                  <c:v>1.63</c:v>
                </c:pt>
                <c:pt idx="5">
                  <c:v>1.605</c:v>
                </c:pt>
                <c:pt idx="6">
                  <c:v>1.59</c:v>
                </c:pt>
                <c:pt idx="7">
                  <c:v>1.615</c:v>
                </c:pt>
                <c:pt idx="8">
                  <c:v>1.62</c:v>
                </c:pt>
                <c:pt idx="9">
                  <c:v>1.64</c:v>
                </c:pt>
                <c:pt idx="10">
                  <c:v>1.65</c:v>
                </c:pt>
                <c:pt idx="11">
                  <c:v>1.62</c:v>
                </c:pt>
                <c:pt idx="12">
                  <c:v>1.59</c:v>
                </c:pt>
                <c:pt idx="13">
                  <c:v>1.605</c:v>
                </c:pt>
                <c:pt idx="14">
                  <c:v>1.605</c:v>
                </c:pt>
                <c:pt idx="15">
                  <c:v>1.53</c:v>
                </c:pt>
                <c:pt idx="16">
                  <c:v>1.585</c:v>
                </c:pt>
                <c:pt idx="17">
                  <c:v>1.5649999999999999</c:v>
                </c:pt>
                <c:pt idx="18">
                  <c:v>1.5549999999999999</c:v>
                </c:pt>
                <c:pt idx="19">
                  <c:v>1.6</c:v>
                </c:pt>
                <c:pt idx="20">
                  <c:v>1.625</c:v>
                </c:pt>
                <c:pt idx="21">
                  <c:v>1.605</c:v>
                </c:pt>
                <c:pt idx="22">
                  <c:v>1.6950000000000001</c:v>
                </c:pt>
                <c:pt idx="23">
                  <c:v>1.605</c:v>
                </c:pt>
                <c:pt idx="24">
                  <c:v>1.585</c:v>
                </c:pt>
                <c:pt idx="25">
                  <c:v>1.605</c:v>
                </c:pt>
                <c:pt idx="26">
                  <c:v>1.61</c:v>
                </c:pt>
                <c:pt idx="27">
                  <c:v>1.56</c:v>
                </c:pt>
                <c:pt idx="28">
                  <c:v>1.54</c:v>
                </c:pt>
                <c:pt idx="29">
                  <c:v>1.57</c:v>
                </c:pt>
                <c:pt idx="30">
                  <c:v>1.52</c:v>
                </c:pt>
                <c:pt idx="31">
                  <c:v>1.5049999999999999</c:v>
                </c:pt>
                <c:pt idx="32">
                  <c:v>1.5249999999999999</c:v>
                </c:pt>
                <c:pt idx="33">
                  <c:v>1.5249999999999999</c:v>
                </c:pt>
                <c:pt idx="34">
                  <c:v>1.54</c:v>
                </c:pt>
                <c:pt idx="35">
                  <c:v>1.5649999999999999</c:v>
                </c:pt>
                <c:pt idx="36">
                  <c:v>1.5549999999999999</c:v>
                </c:pt>
                <c:pt idx="37">
                  <c:v>1.56</c:v>
                </c:pt>
                <c:pt idx="38">
                  <c:v>1.61</c:v>
                </c:pt>
                <c:pt idx="39">
                  <c:v>1.57</c:v>
                </c:pt>
                <c:pt idx="40">
                  <c:v>1.575</c:v>
                </c:pt>
                <c:pt idx="41">
                  <c:v>1.53</c:v>
                </c:pt>
                <c:pt idx="42">
                  <c:v>1.58</c:v>
                </c:pt>
                <c:pt idx="43">
                  <c:v>1.7</c:v>
                </c:pt>
                <c:pt idx="44">
                  <c:v>1.825</c:v>
                </c:pt>
                <c:pt idx="45">
                  <c:v>1.855</c:v>
                </c:pt>
                <c:pt idx="46">
                  <c:v>1.917</c:v>
                </c:pt>
                <c:pt idx="47">
                  <c:v>1.86</c:v>
                </c:pt>
                <c:pt idx="48">
                  <c:v>1.87</c:v>
                </c:pt>
                <c:pt idx="49">
                  <c:v>1.895</c:v>
                </c:pt>
                <c:pt idx="50">
                  <c:v>1.89</c:v>
                </c:pt>
                <c:pt idx="51">
                  <c:v>1.895</c:v>
                </c:pt>
                <c:pt idx="52">
                  <c:v>1.92</c:v>
                </c:pt>
                <c:pt idx="53">
                  <c:v>1.865</c:v>
                </c:pt>
                <c:pt idx="54">
                  <c:v>1.885</c:v>
                </c:pt>
                <c:pt idx="55">
                  <c:v>1.88</c:v>
                </c:pt>
                <c:pt idx="56">
                  <c:v>1.92</c:v>
                </c:pt>
                <c:pt idx="57">
                  <c:v>1.8</c:v>
                </c:pt>
                <c:pt idx="58">
                  <c:v>1.8</c:v>
                </c:pt>
                <c:pt idx="59">
                  <c:v>1.76</c:v>
                </c:pt>
                <c:pt idx="60">
                  <c:v>1.8049999999999999</c:v>
                </c:pt>
                <c:pt idx="61">
                  <c:v>1.855</c:v>
                </c:pt>
                <c:pt idx="62">
                  <c:v>1.9350000000000001</c:v>
                </c:pt>
                <c:pt idx="63">
                  <c:v>1.905</c:v>
                </c:pt>
                <c:pt idx="64">
                  <c:v>1.91</c:v>
                </c:pt>
                <c:pt idx="65">
                  <c:v>1.855</c:v>
                </c:pt>
                <c:pt idx="66">
                  <c:v>1.9450000000000001</c:v>
                </c:pt>
                <c:pt idx="67">
                  <c:v>1.95</c:v>
                </c:pt>
                <c:pt idx="68">
                  <c:v>1.9450000000000001</c:v>
                </c:pt>
                <c:pt idx="69">
                  <c:v>1.915</c:v>
                </c:pt>
                <c:pt idx="70">
                  <c:v>1.9850000000000001</c:v>
                </c:pt>
                <c:pt idx="71">
                  <c:v>1.895</c:v>
                </c:pt>
                <c:pt idx="72">
                  <c:v>1.845</c:v>
                </c:pt>
                <c:pt idx="73">
                  <c:v>1.88</c:v>
                </c:pt>
                <c:pt idx="74">
                  <c:v>1.825</c:v>
                </c:pt>
                <c:pt idx="75">
                  <c:v>1.875</c:v>
                </c:pt>
                <c:pt idx="76">
                  <c:v>1.835</c:v>
                </c:pt>
                <c:pt idx="77">
                  <c:v>1.7450000000000001</c:v>
                </c:pt>
                <c:pt idx="78">
                  <c:v>1.7649999999999999</c:v>
                </c:pt>
                <c:pt idx="79">
                  <c:v>1.7549999999999999</c:v>
                </c:pt>
                <c:pt idx="80">
                  <c:v>1.77</c:v>
                </c:pt>
                <c:pt idx="81">
                  <c:v>1.76</c:v>
                </c:pt>
                <c:pt idx="82">
                  <c:v>1.68</c:v>
                </c:pt>
                <c:pt idx="83">
                  <c:v>1.7</c:v>
                </c:pt>
                <c:pt idx="84">
                  <c:v>1.7</c:v>
                </c:pt>
                <c:pt idx="85">
                  <c:v>1.71</c:v>
                </c:pt>
                <c:pt idx="86">
                  <c:v>1.79</c:v>
                </c:pt>
                <c:pt idx="87">
                  <c:v>1.7949999999999999</c:v>
                </c:pt>
                <c:pt idx="88">
                  <c:v>1.77</c:v>
                </c:pt>
                <c:pt idx="89">
                  <c:v>1.8149999999999999</c:v>
                </c:pt>
                <c:pt idx="90">
                  <c:v>1.825</c:v>
                </c:pt>
                <c:pt idx="91">
                  <c:v>1.845</c:v>
                </c:pt>
                <c:pt idx="92">
                  <c:v>1.8149999999999999</c:v>
                </c:pt>
                <c:pt idx="93">
                  <c:v>1.875</c:v>
                </c:pt>
                <c:pt idx="94">
                  <c:v>1.87</c:v>
                </c:pt>
                <c:pt idx="95">
                  <c:v>1.915</c:v>
                </c:pt>
                <c:pt idx="96">
                  <c:v>1.92</c:v>
                </c:pt>
                <c:pt idx="97">
                  <c:v>1.89</c:v>
                </c:pt>
                <c:pt idx="98">
                  <c:v>1.79</c:v>
                </c:pt>
                <c:pt idx="99">
                  <c:v>1.78</c:v>
                </c:pt>
                <c:pt idx="100">
                  <c:v>1.855</c:v>
                </c:pt>
                <c:pt idx="101">
                  <c:v>1.85</c:v>
                </c:pt>
                <c:pt idx="102">
                  <c:v>1.91</c:v>
                </c:pt>
                <c:pt idx="103">
                  <c:v>1.8</c:v>
                </c:pt>
                <c:pt idx="104">
                  <c:v>1.875</c:v>
                </c:pt>
                <c:pt idx="105">
                  <c:v>1.8149999999999999</c:v>
                </c:pt>
                <c:pt idx="106">
                  <c:v>1.82</c:v>
                </c:pt>
                <c:pt idx="107">
                  <c:v>1.83</c:v>
                </c:pt>
                <c:pt idx="108">
                  <c:v>1.92</c:v>
                </c:pt>
                <c:pt idx="109">
                  <c:v>1.99</c:v>
                </c:pt>
                <c:pt idx="110">
                  <c:v>1.8149999999999999</c:v>
                </c:pt>
                <c:pt idx="111">
                  <c:v>1.7949999999999999</c:v>
                </c:pt>
                <c:pt idx="112">
                  <c:v>1.78</c:v>
                </c:pt>
                <c:pt idx="113">
                  <c:v>1.7250000000000001</c:v>
                </c:pt>
                <c:pt idx="114">
                  <c:v>1.7649999999999999</c:v>
                </c:pt>
                <c:pt idx="115">
                  <c:v>1.7649999999999999</c:v>
                </c:pt>
                <c:pt idx="116">
                  <c:v>1.81</c:v>
                </c:pt>
                <c:pt idx="117">
                  <c:v>1.81</c:v>
                </c:pt>
                <c:pt idx="118">
                  <c:v>1.89</c:v>
                </c:pt>
                <c:pt idx="119">
                  <c:v>1.83</c:v>
                </c:pt>
                <c:pt idx="120">
                  <c:v>1.83</c:v>
                </c:pt>
                <c:pt idx="121">
                  <c:v>1.75</c:v>
                </c:pt>
                <c:pt idx="122">
                  <c:v>1.73</c:v>
                </c:pt>
                <c:pt idx="123">
                  <c:v>1.7549999999999999</c:v>
                </c:pt>
                <c:pt idx="124">
                  <c:v>1.7649999999999999</c:v>
                </c:pt>
                <c:pt idx="125">
                  <c:v>1.76</c:v>
                </c:pt>
                <c:pt idx="126">
                  <c:v>1.7949999999999999</c:v>
                </c:pt>
                <c:pt idx="127">
                  <c:v>1.865</c:v>
                </c:pt>
                <c:pt idx="128">
                  <c:v>1.895</c:v>
                </c:pt>
                <c:pt idx="129">
                  <c:v>1.88</c:v>
                </c:pt>
                <c:pt idx="130">
                  <c:v>1.895</c:v>
                </c:pt>
                <c:pt idx="131">
                  <c:v>1.88</c:v>
                </c:pt>
                <c:pt idx="132">
                  <c:v>1.9550000000000001</c:v>
                </c:pt>
                <c:pt idx="133">
                  <c:v>2.0699999999999998</c:v>
                </c:pt>
                <c:pt idx="134">
                  <c:v>2.12</c:v>
                </c:pt>
                <c:pt idx="135">
                  <c:v>2.15</c:v>
                </c:pt>
                <c:pt idx="136">
                  <c:v>2.16</c:v>
                </c:pt>
                <c:pt idx="137">
                  <c:v>2.15</c:v>
                </c:pt>
                <c:pt idx="138">
                  <c:v>2.15</c:v>
                </c:pt>
                <c:pt idx="139">
                  <c:v>2.17</c:v>
                </c:pt>
                <c:pt idx="140">
                  <c:v>2.12</c:v>
                </c:pt>
                <c:pt idx="141">
                  <c:v>2.17</c:v>
                </c:pt>
                <c:pt idx="142">
                  <c:v>2.12</c:v>
                </c:pt>
                <c:pt idx="143">
                  <c:v>2.0699999999999998</c:v>
                </c:pt>
                <c:pt idx="144">
                  <c:v>2.06</c:v>
                </c:pt>
                <c:pt idx="145">
                  <c:v>2.02</c:v>
                </c:pt>
                <c:pt idx="146">
                  <c:v>2.09</c:v>
                </c:pt>
                <c:pt idx="147">
                  <c:v>2.11</c:v>
                </c:pt>
                <c:pt idx="148">
                  <c:v>2.12</c:v>
                </c:pt>
                <c:pt idx="149">
                  <c:v>2.08</c:v>
                </c:pt>
                <c:pt idx="150">
                  <c:v>2.02</c:v>
                </c:pt>
                <c:pt idx="151">
                  <c:v>2.0299999999999998</c:v>
                </c:pt>
                <c:pt idx="152">
                  <c:v>1.9850000000000001</c:v>
                </c:pt>
                <c:pt idx="153">
                  <c:v>2.06</c:v>
                </c:pt>
                <c:pt idx="154">
                  <c:v>2.04</c:v>
                </c:pt>
                <c:pt idx="155">
                  <c:v>2.21</c:v>
                </c:pt>
                <c:pt idx="156">
                  <c:v>2.2000000000000002</c:v>
                </c:pt>
                <c:pt idx="157">
                  <c:v>2.1800000000000002</c:v>
                </c:pt>
                <c:pt idx="158">
                  <c:v>2.2000000000000002</c:v>
                </c:pt>
                <c:pt idx="159">
                  <c:v>2.17</c:v>
                </c:pt>
                <c:pt idx="160">
                  <c:v>2.1800000000000002</c:v>
                </c:pt>
                <c:pt idx="161">
                  <c:v>2.21</c:v>
                </c:pt>
                <c:pt idx="162">
                  <c:v>2.2200000000000002</c:v>
                </c:pt>
                <c:pt idx="163">
                  <c:v>2.2000000000000002</c:v>
                </c:pt>
                <c:pt idx="164">
                  <c:v>2.2000000000000002</c:v>
                </c:pt>
                <c:pt idx="165">
                  <c:v>2.19</c:v>
                </c:pt>
                <c:pt idx="166">
                  <c:v>2.19</c:v>
                </c:pt>
                <c:pt idx="167">
                  <c:v>2.14</c:v>
                </c:pt>
                <c:pt idx="168">
                  <c:v>2.27</c:v>
                </c:pt>
                <c:pt idx="169">
                  <c:v>2.2000000000000002</c:v>
                </c:pt>
                <c:pt idx="170">
                  <c:v>2.19</c:v>
                </c:pt>
                <c:pt idx="171">
                  <c:v>2.0699999999999998</c:v>
                </c:pt>
                <c:pt idx="172">
                  <c:v>2.14</c:v>
                </c:pt>
                <c:pt idx="173">
                  <c:v>2.1800000000000002</c:v>
                </c:pt>
                <c:pt idx="174">
                  <c:v>2.0699999999999998</c:v>
                </c:pt>
                <c:pt idx="175">
                  <c:v>2.11</c:v>
                </c:pt>
                <c:pt idx="176">
                  <c:v>2.11</c:v>
                </c:pt>
                <c:pt idx="177">
                  <c:v>2.15</c:v>
                </c:pt>
                <c:pt idx="178">
                  <c:v>2.2000000000000002</c:v>
                </c:pt>
                <c:pt idx="179">
                  <c:v>2.17</c:v>
                </c:pt>
                <c:pt idx="180">
                  <c:v>2.11</c:v>
                </c:pt>
                <c:pt idx="181">
                  <c:v>2.1</c:v>
                </c:pt>
                <c:pt idx="182">
                  <c:v>2.12</c:v>
                </c:pt>
                <c:pt idx="183">
                  <c:v>2.11</c:v>
                </c:pt>
                <c:pt idx="184">
                  <c:v>2.11</c:v>
                </c:pt>
                <c:pt idx="185">
                  <c:v>2.0699999999999998</c:v>
                </c:pt>
                <c:pt idx="186">
                  <c:v>2.1</c:v>
                </c:pt>
                <c:pt idx="187">
                  <c:v>2.15</c:v>
                </c:pt>
                <c:pt idx="188">
                  <c:v>2.15</c:v>
                </c:pt>
                <c:pt idx="189">
                  <c:v>2.06</c:v>
                </c:pt>
                <c:pt idx="190">
                  <c:v>2.04</c:v>
                </c:pt>
                <c:pt idx="191">
                  <c:v>2.09</c:v>
                </c:pt>
                <c:pt idx="192">
                  <c:v>2.02</c:v>
                </c:pt>
                <c:pt idx="193">
                  <c:v>2.04</c:v>
                </c:pt>
                <c:pt idx="194">
                  <c:v>2.02</c:v>
                </c:pt>
                <c:pt idx="195">
                  <c:v>2.0099999999999998</c:v>
                </c:pt>
                <c:pt idx="196">
                  <c:v>1.9950000000000001</c:v>
                </c:pt>
                <c:pt idx="197">
                  <c:v>2.0299999999999998</c:v>
                </c:pt>
                <c:pt idx="198">
                  <c:v>2.0699999999999998</c:v>
                </c:pt>
                <c:pt idx="199">
                  <c:v>2.0499999999999998</c:v>
                </c:pt>
                <c:pt idx="200">
                  <c:v>2.08</c:v>
                </c:pt>
                <c:pt idx="201">
                  <c:v>2.19</c:v>
                </c:pt>
                <c:pt idx="202">
                  <c:v>2.3199999999999998</c:v>
                </c:pt>
                <c:pt idx="203">
                  <c:v>2.2999999999999998</c:v>
                </c:pt>
                <c:pt idx="204">
                  <c:v>2.4700000000000002</c:v>
                </c:pt>
                <c:pt idx="205">
                  <c:v>2.4900000000000002</c:v>
                </c:pt>
                <c:pt idx="206">
                  <c:v>2.56</c:v>
                </c:pt>
                <c:pt idx="207">
                  <c:v>2.4900000000000002</c:v>
                </c:pt>
                <c:pt idx="208">
                  <c:v>2.5299999999999998</c:v>
                </c:pt>
                <c:pt idx="209">
                  <c:v>2.44</c:v>
                </c:pt>
                <c:pt idx="210">
                  <c:v>2.4700000000000002</c:v>
                </c:pt>
                <c:pt idx="211">
                  <c:v>2.44</c:v>
                </c:pt>
                <c:pt idx="212">
                  <c:v>2.4500000000000002</c:v>
                </c:pt>
                <c:pt idx="213">
                  <c:v>2.34</c:v>
                </c:pt>
                <c:pt idx="214">
                  <c:v>2.3199999999999998</c:v>
                </c:pt>
                <c:pt idx="215">
                  <c:v>2.2599999999999998</c:v>
                </c:pt>
                <c:pt idx="216">
                  <c:v>2.23</c:v>
                </c:pt>
                <c:pt idx="217">
                  <c:v>2.14</c:v>
                </c:pt>
                <c:pt idx="218">
                  <c:v>2.2400000000000002</c:v>
                </c:pt>
                <c:pt idx="219">
                  <c:v>2.33</c:v>
                </c:pt>
                <c:pt idx="220">
                  <c:v>2.2999999999999998</c:v>
                </c:pt>
                <c:pt idx="221">
                  <c:v>2.2999999999999998</c:v>
                </c:pt>
                <c:pt idx="222">
                  <c:v>2.23</c:v>
                </c:pt>
                <c:pt idx="223">
                  <c:v>2.27</c:v>
                </c:pt>
                <c:pt idx="224">
                  <c:v>2.31</c:v>
                </c:pt>
                <c:pt idx="225">
                  <c:v>2.42</c:v>
                </c:pt>
                <c:pt idx="226">
                  <c:v>2.4700000000000002</c:v>
                </c:pt>
                <c:pt idx="227">
                  <c:v>2.48</c:v>
                </c:pt>
                <c:pt idx="228">
                  <c:v>2.5</c:v>
                </c:pt>
                <c:pt idx="229">
                  <c:v>2.48</c:v>
                </c:pt>
                <c:pt idx="230">
                  <c:v>2.4300000000000002</c:v>
                </c:pt>
                <c:pt idx="231">
                  <c:v>2.52</c:v>
                </c:pt>
                <c:pt idx="232">
                  <c:v>2.52</c:v>
                </c:pt>
                <c:pt idx="233">
                  <c:v>2.5299999999999998</c:v>
                </c:pt>
                <c:pt idx="234">
                  <c:v>2.4900000000000002</c:v>
                </c:pt>
                <c:pt idx="235">
                  <c:v>2.4300000000000002</c:v>
                </c:pt>
                <c:pt idx="236">
                  <c:v>2.41</c:v>
                </c:pt>
                <c:pt idx="237">
                  <c:v>2.63</c:v>
                </c:pt>
                <c:pt idx="238">
                  <c:v>2.62</c:v>
                </c:pt>
                <c:pt idx="239">
                  <c:v>2.67</c:v>
                </c:pt>
                <c:pt idx="240">
                  <c:v>2.74</c:v>
                </c:pt>
                <c:pt idx="241">
                  <c:v>2.77</c:v>
                </c:pt>
                <c:pt idx="242">
                  <c:v>2.74</c:v>
                </c:pt>
                <c:pt idx="243">
                  <c:v>2.71</c:v>
                </c:pt>
                <c:pt idx="244">
                  <c:v>2.61</c:v>
                </c:pt>
                <c:pt idx="245">
                  <c:v>2.63</c:v>
                </c:pt>
                <c:pt idx="246">
                  <c:v>2.59</c:v>
                </c:pt>
                <c:pt idx="247">
                  <c:v>2.54</c:v>
                </c:pt>
                <c:pt idx="248">
                  <c:v>2.5</c:v>
                </c:pt>
                <c:pt idx="249">
                  <c:v>2.54</c:v>
                </c:pt>
                <c:pt idx="250">
                  <c:v>2.5299999999999998</c:v>
                </c:pt>
                <c:pt idx="251">
                  <c:v>2.5499999999999998</c:v>
                </c:pt>
                <c:pt idx="252">
                  <c:v>2.52</c:v>
                </c:pt>
                <c:pt idx="253">
                  <c:v>2.4700000000000002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8746-ACAF-E1A7EF2B2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6415279"/>
        <c:axId val="677117071"/>
      </c:lineChart>
      <c:catAx>
        <c:axId val="676415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117071"/>
        <c:crosses val="autoZero"/>
        <c:auto val="1"/>
        <c:lblAlgn val="ctr"/>
        <c:lblOffset val="100"/>
        <c:noMultiLvlLbl val="0"/>
      </c:catAx>
      <c:valAx>
        <c:axId val="677117071"/>
        <c:scaling>
          <c:orientation val="minMax"/>
          <c:max val="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415279"/>
        <c:crosses val="autoZero"/>
        <c:crossBetween val="between"/>
      </c:valAx>
      <c:valAx>
        <c:axId val="706006239"/>
        <c:scaling>
          <c:orientation val="minMax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425231"/>
        <c:crosses val="max"/>
        <c:crossBetween val="between"/>
      </c:valAx>
      <c:catAx>
        <c:axId val="37542523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06006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PE Analysis</a:t>
            </a:r>
          </a:p>
          <a:p>
            <a:pPr>
              <a:defRPr/>
            </a:pP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PE!$J$1</c:f>
              <c:strCache>
                <c:ptCount val="1"/>
                <c:pt idx="0">
                  <c:v>PE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1"/>
              <c:layout>
                <c:manualLayout>
                  <c:x val="-1.3465398498263481E-2"/>
                  <c:y val="-9.6312685947160609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0A0-514E-AA8C-6C2AD1B1E6F6}"/>
                </c:ext>
              </c:extLst>
            </c:dLbl>
            <c:dLbl>
              <c:idx val="41"/>
              <c:layout>
                <c:manualLayout>
                  <c:x val="-6.2277468054468599E-2"/>
                  <c:y val="4.6495779422767128E-2"/>
                </c:manualLayout>
              </c:layout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A0-514E-AA8C-6C2AD1B1E6F6}"/>
                </c:ext>
              </c:extLst>
            </c:dLbl>
            <c:dLbl>
              <c:idx val="4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0A0-514E-AA8C-6C2AD1B1E6F6}"/>
                </c:ext>
              </c:extLst>
            </c:dLbl>
            <c:dLbl>
              <c:idx val="46"/>
              <c:layout>
                <c:manualLayout>
                  <c:x val="-1.3465398498263512E-2"/>
                  <c:y val="-7.9707050439029495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0A0-514E-AA8C-6C2AD1B1E6F6}"/>
                </c:ext>
              </c:extLst>
            </c:dLbl>
            <c:dLbl>
              <c:idx val="82"/>
              <c:layout>
                <c:manualLayout>
                  <c:x val="-6.1715696838711332E-17"/>
                  <c:y val="5.9780287829272041E-2"/>
                </c:manualLayout>
              </c:layout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0A0-514E-AA8C-6C2AD1B1E6F6}"/>
                </c:ext>
              </c:extLst>
            </c:dLbl>
            <c:dLbl>
              <c:idx val="109"/>
              <c:layout>
                <c:manualLayout>
                  <c:x val="-6.1715696838711332E-17"/>
                  <c:y val="-7.9707050439029467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0A0-514E-AA8C-6C2AD1B1E6F6}"/>
                </c:ext>
              </c:extLst>
            </c:dLbl>
            <c:dLbl>
              <c:idx val="206"/>
              <c:layout>
                <c:manualLayout>
                  <c:x val="-2.6930796996526962E-2"/>
                  <c:y val="-0.12620282986179665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0A0-514E-AA8C-6C2AD1B1E6F6}"/>
                </c:ext>
              </c:extLst>
            </c:dLbl>
            <c:dLbl>
              <c:idx val="20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0A0-514E-AA8C-6C2AD1B1E6F6}"/>
                </c:ext>
              </c:extLst>
            </c:dLbl>
            <c:dLbl>
              <c:idx val="240"/>
              <c:layout>
                <c:manualLayout>
                  <c:x val="-1.5148573310546415E-2"/>
                  <c:y val="-7.306479623577701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0A0-514E-AA8C-6C2AD1B1E6F6}"/>
                </c:ext>
              </c:extLst>
            </c:dLbl>
            <c:dLbl>
              <c:idx val="253"/>
              <c:layout>
                <c:manualLayout>
                  <c:x val="-6.7326992491318636E-3"/>
                  <c:y val="6.9743669134150782E-2"/>
                </c:manualLayout>
              </c:layout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0A0-514E-AA8C-6C2AD1B1E6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eparator>, </c:separator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PE!$B$2:$B$255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PE!$J$2:$J$255</c:f>
              <c:numCache>
                <c:formatCode>0.00</c:formatCode>
                <c:ptCount val="254"/>
                <c:pt idx="0">
                  <c:v>23.419298309368934</c:v>
                </c:pt>
                <c:pt idx="1">
                  <c:v>22.746329967145687</c:v>
                </c:pt>
                <c:pt idx="2">
                  <c:v>21.871471122255468</c:v>
                </c:pt>
                <c:pt idx="3">
                  <c:v>21.871471122255468</c:v>
                </c:pt>
                <c:pt idx="4">
                  <c:v>21.938767956477793</c:v>
                </c:pt>
                <c:pt idx="5">
                  <c:v>21.602283785366172</c:v>
                </c:pt>
                <c:pt idx="6">
                  <c:v>21.400393282699198</c:v>
                </c:pt>
                <c:pt idx="7">
                  <c:v>21.73687745381082</c:v>
                </c:pt>
                <c:pt idx="8">
                  <c:v>21.804174288033146</c:v>
                </c:pt>
                <c:pt idx="9">
                  <c:v>22.073361624922441</c:v>
                </c:pt>
                <c:pt idx="10">
                  <c:v>22.207955293367089</c:v>
                </c:pt>
                <c:pt idx="11">
                  <c:v>21.804174288033146</c:v>
                </c:pt>
                <c:pt idx="12">
                  <c:v>21.400393282699198</c:v>
                </c:pt>
                <c:pt idx="13">
                  <c:v>21.602283785366172</c:v>
                </c:pt>
                <c:pt idx="14">
                  <c:v>21.602283785366172</c:v>
                </c:pt>
                <c:pt idx="15">
                  <c:v>20.592831272031304</c:v>
                </c:pt>
                <c:pt idx="16">
                  <c:v>21.333096448476873</c:v>
                </c:pt>
                <c:pt idx="17">
                  <c:v>21.063909111587574</c:v>
                </c:pt>
                <c:pt idx="18">
                  <c:v>20.929315443142926</c:v>
                </c:pt>
                <c:pt idx="19">
                  <c:v>21.534986951143846</c:v>
                </c:pt>
                <c:pt idx="20">
                  <c:v>21.871471122255468</c:v>
                </c:pt>
                <c:pt idx="21">
                  <c:v>21.602283785366172</c:v>
                </c:pt>
                <c:pt idx="22">
                  <c:v>22.813626801368013</c:v>
                </c:pt>
                <c:pt idx="23">
                  <c:v>21.602283785366172</c:v>
                </c:pt>
                <c:pt idx="24">
                  <c:v>21.333096448476873</c:v>
                </c:pt>
                <c:pt idx="25">
                  <c:v>21.602283785366172</c:v>
                </c:pt>
                <c:pt idx="26">
                  <c:v>21.669580619588498</c:v>
                </c:pt>
                <c:pt idx="27">
                  <c:v>20.996612277365251</c:v>
                </c:pt>
                <c:pt idx="28">
                  <c:v>20.727424940475952</c:v>
                </c:pt>
                <c:pt idx="29">
                  <c:v>21.131205945809899</c:v>
                </c:pt>
                <c:pt idx="30">
                  <c:v>20.458237603586653</c:v>
                </c:pt>
                <c:pt idx="31">
                  <c:v>20.25634710091968</c:v>
                </c:pt>
                <c:pt idx="32">
                  <c:v>20.525534437808975</c:v>
                </c:pt>
                <c:pt idx="33">
                  <c:v>20.525534437808975</c:v>
                </c:pt>
                <c:pt idx="34">
                  <c:v>20.727424940475952</c:v>
                </c:pt>
                <c:pt idx="35">
                  <c:v>21.063909111587574</c:v>
                </c:pt>
                <c:pt idx="36">
                  <c:v>20.929315443142926</c:v>
                </c:pt>
                <c:pt idx="37">
                  <c:v>20.996612277365251</c:v>
                </c:pt>
                <c:pt idx="38">
                  <c:v>21.669580619588498</c:v>
                </c:pt>
                <c:pt idx="39">
                  <c:v>21.131205945809899</c:v>
                </c:pt>
                <c:pt idx="40">
                  <c:v>21.198502780032221</c:v>
                </c:pt>
                <c:pt idx="41">
                  <c:v>20.592831272031304</c:v>
                </c:pt>
                <c:pt idx="42">
                  <c:v>21.265799614254547</c:v>
                </c:pt>
                <c:pt idx="43">
                  <c:v>22.880923635590335</c:v>
                </c:pt>
                <c:pt idx="44">
                  <c:v>24.563344491148449</c:v>
                </c:pt>
                <c:pt idx="45">
                  <c:v>24.967125496482396</c:v>
                </c:pt>
                <c:pt idx="46">
                  <c:v>25.80160624083922</c:v>
                </c:pt>
                <c:pt idx="47">
                  <c:v>25.034422330704722</c:v>
                </c:pt>
                <c:pt idx="48">
                  <c:v>25.169015999149373</c:v>
                </c:pt>
                <c:pt idx="49">
                  <c:v>25.505500170260994</c:v>
                </c:pt>
                <c:pt idx="50">
                  <c:v>25.438203336038665</c:v>
                </c:pt>
                <c:pt idx="51">
                  <c:v>25.505500170260994</c:v>
                </c:pt>
                <c:pt idx="52">
                  <c:v>25.841984341372616</c:v>
                </c:pt>
                <c:pt idx="53">
                  <c:v>25.101719164927044</c:v>
                </c:pt>
                <c:pt idx="54">
                  <c:v>25.370906501816343</c:v>
                </c:pt>
                <c:pt idx="55">
                  <c:v>25.303609667594017</c:v>
                </c:pt>
                <c:pt idx="56">
                  <c:v>25.841984341372616</c:v>
                </c:pt>
                <c:pt idx="57">
                  <c:v>24.226860320036828</c:v>
                </c:pt>
                <c:pt idx="58">
                  <c:v>24.226860320036828</c:v>
                </c:pt>
                <c:pt idx="59">
                  <c:v>23.688485646258229</c:v>
                </c:pt>
                <c:pt idx="60">
                  <c:v>24.29415715425915</c:v>
                </c:pt>
                <c:pt idx="61">
                  <c:v>24.967125496482396</c:v>
                </c:pt>
                <c:pt idx="62">
                  <c:v>26.043874844039589</c:v>
                </c:pt>
                <c:pt idx="63">
                  <c:v>25.640093838705642</c:v>
                </c:pt>
                <c:pt idx="64">
                  <c:v>25.707390672927964</c:v>
                </c:pt>
                <c:pt idx="65">
                  <c:v>24.967125496482396</c:v>
                </c:pt>
                <c:pt idx="66">
                  <c:v>26.178468512484237</c:v>
                </c:pt>
                <c:pt idx="67">
                  <c:v>26.245765346706563</c:v>
                </c:pt>
                <c:pt idx="68">
                  <c:v>26.178468512484237</c:v>
                </c:pt>
                <c:pt idx="69">
                  <c:v>25.77468750715029</c:v>
                </c:pt>
                <c:pt idx="70">
                  <c:v>26.716843186262835</c:v>
                </c:pt>
                <c:pt idx="71">
                  <c:v>25.505500170260994</c:v>
                </c:pt>
                <c:pt idx="72">
                  <c:v>24.832531828037748</c:v>
                </c:pt>
                <c:pt idx="73">
                  <c:v>25.303609667594017</c:v>
                </c:pt>
                <c:pt idx="74">
                  <c:v>24.563344491148449</c:v>
                </c:pt>
                <c:pt idx="75">
                  <c:v>25.236312833371695</c:v>
                </c:pt>
                <c:pt idx="76">
                  <c:v>24.697938159593097</c:v>
                </c:pt>
                <c:pt idx="77">
                  <c:v>23.486595143591259</c:v>
                </c:pt>
                <c:pt idx="78">
                  <c:v>23.755782480480555</c:v>
                </c:pt>
                <c:pt idx="79">
                  <c:v>23.621188812035903</c:v>
                </c:pt>
                <c:pt idx="80">
                  <c:v>23.823079314702881</c:v>
                </c:pt>
                <c:pt idx="81">
                  <c:v>23.688485646258229</c:v>
                </c:pt>
                <c:pt idx="82">
                  <c:v>22.611736298701036</c:v>
                </c:pt>
                <c:pt idx="83">
                  <c:v>22.880923635590335</c:v>
                </c:pt>
                <c:pt idx="84">
                  <c:v>22.880923635590335</c:v>
                </c:pt>
                <c:pt idx="85">
                  <c:v>23.015517304034987</c:v>
                </c:pt>
                <c:pt idx="86">
                  <c:v>24.09226665159218</c:v>
                </c:pt>
                <c:pt idx="87">
                  <c:v>24.159563485814502</c:v>
                </c:pt>
                <c:pt idx="88">
                  <c:v>23.823079314702881</c:v>
                </c:pt>
                <c:pt idx="89">
                  <c:v>24.428750822703801</c:v>
                </c:pt>
                <c:pt idx="90">
                  <c:v>24.563344491148449</c:v>
                </c:pt>
                <c:pt idx="91">
                  <c:v>24.832531828037748</c:v>
                </c:pt>
                <c:pt idx="92">
                  <c:v>24.428750822703801</c:v>
                </c:pt>
                <c:pt idx="93">
                  <c:v>25.236312833371695</c:v>
                </c:pt>
                <c:pt idx="94">
                  <c:v>25.169015999149373</c:v>
                </c:pt>
                <c:pt idx="95">
                  <c:v>25.77468750715029</c:v>
                </c:pt>
                <c:pt idx="96">
                  <c:v>25.841984341372616</c:v>
                </c:pt>
                <c:pt idx="97">
                  <c:v>25.438203336038665</c:v>
                </c:pt>
                <c:pt idx="98">
                  <c:v>24.09226665159218</c:v>
                </c:pt>
                <c:pt idx="99">
                  <c:v>23.957672983147528</c:v>
                </c:pt>
                <c:pt idx="100">
                  <c:v>24.967125496482396</c:v>
                </c:pt>
                <c:pt idx="101">
                  <c:v>24.899828662260074</c:v>
                </c:pt>
                <c:pt idx="102">
                  <c:v>25.707390672927964</c:v>
                </c:pt>
                <c:pt idx="103">
                  <c:v>24.226860320036828</c:v>
                </c:pt>
                <c:pt idx="104">
                  <c:v>25.236312833371695</c:v>
                </c:pt>
                <c:pt idx="105">
                  <c:v>24.428750822703801</c:v>
                </c:pt>
                <c:pt idx="106">
                  <c:v>24.496047656926127</c:v>
                </c:pt>
                <c:pt idx="107">
                  <c:v>24.630641325370775</c:v>
                </c:pt>
                <c:pt idx="108">
                  <c:v>25.841984341372616</c:v>
                </c:pt>
                <c:pt idx="109">
                  <c:v>26.784140020485157</c:v>
                </c:pt>
                <c:pt idx="110">
                  <c:v>24.428750822703801</c:v>
                </c:pt>
                <c:pt idx="111">
                  <c:v>24.159563485814502</c:v>
                </c:pt>
                <c:pt idx="112">
                  <c:v>23.957672983147528</c:v>
                </c:pt>
                <c:pt idx="113">
                  <c:v>23.21740780670196</c:v>
                </c:pt>
                <c:pt idx="114">
                  <c:v>23.755782480480555</c:v>
                </c:pt>
                <c:pt idx="115">
                  <c:v>23.755782480480555</c:v>
                </c:pt>
                <c:pt idx="116">
                  <c:v>24.361453988481475</c:v>
                </c:pt>
                <c:pt idx="117">
                  <c:v>24.361453988481475</c:v>
                </c:pt>
                <c:pt idx="118">
                  <c:v>25.438203336038665</c:v>
                </c:pt>
                <c:pt idx="119">
                  <c:v>24.630641325370775</c:v>
                </c:pt>
                <c:pt idx="120">
                  <c:v>24.630641325370775</c:v>
                </c:pt>
                <c:pt idx="121">
                  <c:v>23.553891977813581</c:v>
                </c:pt>
                <c:pt idx="122">
                  <c:v>23.284704640924282</c:v>
                </c:pt>
                <c:pt idx="123">
                  <c:v>23.621188812035903</c:v>
                </c:pt>
                <c:pt idx="124">
                  <c:v>23.755782480480555</c:v>
                </c:pt>
                <c:pt idx="125">
                  <c:v>23.688485646258229</c:v>
                </c:pt>
                <c:pt idx="126">
                  <c:v>24.159563485814502</c:v>
                </c:pt>
                <c:pt idx="127">
                  <c:v>25.101719164927044</c:v>
                </c:pt>
                <c:pt idx="128">
                  <c:v>25.505500170260994</c:v>
                </c:pt>
                <c:pt idx="129">
                  <c:v>25.303609667594017</c:v>
                </c:pt>
                <c:pt idx="130">
                  <c:v>25.505500170260994</c:v>
                </c:pt>
                <c:pt idx="131">
                  <c:v>25.303609667594017</c:v>
                </c:pt>
                <c:pt idx="132">
                  <c:v>26.313062180928888</c:v>
                </c:pt>
                <c:pt idx="133">
                  <c:v>27.860889368042347</c:v>
                </c:pt>
                <c:pt idx="134">
                  <c:v>28.533857710265597</c:v>
                </c:pt>
                <c:pt idx="135">
                  <c:v>28.93763871559954</c:v>
                </c:pt>
                <c:pt idx="136">
                  <c:v>29.072232384044195</c:v>
                </c:pt>
                <c:pt idx="137">
                  <c:v>28.93763871559954</c:v>
                </c:pt>
                <c:pt idx="138">
                  <c:v>28.93763871559954</c:v>
                </c:pt>
                <c:pt idx="139">
                  <c:v>29.206826052488839</c:v>
                </c:pt>
                <c:pt idx="140">
                  <c:v>28.533857710265597</c:v>
                </c:pt>
                <c:pt idx="141">
                  <c:v>29.206826052488839</c:v>
                </c:pt>
                <c:pt idx="142">
                  <c:v>28.533857710265597</c:v>
                </c:pt>
                <c:pt idx="143">
                  <c:v>27.860889368042347</c:v>
                </c:pt>
                <c:pt idx="144">
                  <c:v>27.726295699597703</c:v>
                </c:pt>
                <c:pt idx="145">
                  <c:v>27.187921025819104</c:v>
                </c:pt>
                <c:pt idx="146">
                  <c:v>28.130076704931646</c:v>
                </c:pt>
                <c:pt idx="147">
                  <c:v>28.399264041820945</c:v>
                </c:pt>
                <c:pt idx="148">
                  <c:v>28.533857710265597</c:v>
                </c:pt>
                <c:pt idx="149">
                  <c:v>27.995483036487002</c:v>
                </c:pt>
                <c:pt idx="150">
                  <c:v>27.187921025819104</c:v>
                </c:pt>
                <c:pt idx="151">
                  <c:v>27.322514694263752</c:v>
                </c:pt>
                <c:pt idx="152">
                  <c:v>26.716843186262835</c:v>
                </c:pt>
                <c:pt idx="153">
                  <c:v>27.726295699597703</c:v>
                </c:pt>
                <c:pt idx="154">
                  <c:v>27.457108362708404</c:v>
                </c:pt>
                <c:pt idx="155">
                  <c:v>29.745200726267438</c:v>
                </c:pt>
                <c:pt idx="156">
                  <c:v>29.61060705782279</c:v>
                </c:pt>
                <c:pt idx="157">
                  <c:v>29.341419720933491</c:v>
                </c:pt>
                <c:pt idx="158">
                  <c:v>29.61060705782279</c:v>
                </c:pt>
                <c:pt idx="159">
                  <c:v>29.206826052488839</c:v>
                </c:pt>
                <c:pt idx="160">
                  <c:v>29.341419720933491</c:v>
                </c:pt>
                <c:pt idx="161">
                  <c:v>29.745200726267438</c:v>
                </c:pt>
                <c:pt idx="162">
                  <c:v>29.879794394712089</c:v>
                </c:pt>
                <c:pt idx="163">
                  <c:v>29.61060705782279</c:v>
                </c:pt>
                <c:pt idx="164">
                  <c:v>29.61060705782279</c:v>
                </c:pt>
                <c:pt idx="165">
                  <c:v>29.476013389378139</c:v>
                </c:pt>
                <c:pt idx="166">
                  <c:v>29.476013389378139</c:v>
                </c:pt>
                <c:pt idx="167">
                  <c:v>28.803045047154896</c:v>
                </c:pt>
                <c:pt idx="168">
                  <c:v>30.552762736935332</c:v>
                </c:pt>
                <c:pt idx="169">
                  <c:v>29.61060705782279</c:v>
                </c:pt>
                <c:pt idx="170">
                  <c:v>29.476013389378139</c:v>
                </c:pt>
                <c:pt idx="171">
                  <c:v>27.860889368042347</c:v>
                </c:pt>
                <c:pt idx="172">
                  <c:v>28.803045047154896</c:v>
                </c:pt>
                <c:pt idx="173">
                  <c:v>29.341419720933491</c:v>
                </c:pt>
                <c:pt idx="174">
                  <c:v>27.860889368042347</c:v>
                </c:pt>
                <c:pt idx="175">
                  <c:v>28.399264041820945</c:v>
                </c:pt>
                <c:pt idx="176">
                  <c:v>28.399264041820945</c:v>
                </c:pt>
                <c:pt idx="177">
                  <c:v>28.93763871559954</c:v>
                </c:pt>
                <c:pt idx="178">
                  <c:v>29.61060705782279</c:v>
                </c:pt>
                <c:pt idx="179">
                  <c:v>29.206826052488839</c:v>
                </c:pt>
                <c:pt idx="180">
                  <c:v>28.399264041820945</c:v>
                </c:pt>
                <c:pt idx="181">
                  <c:v>28.264670373376298</c:v>
                </c:pt>
                <c:pt idx="182">
                  <c:v>28.533857710265597</c:v>
                </c:pt>
                <c:pt idx="183">
                  <c:v>28.399264041820945</c:v>
                </c:pt>
                <c:pt idx="184">
                  <c:v>28.399264041820945</c:v>
                </c:pt>
                <c:pt idx="185">
                  <c:v>27.860889368042347</c:v>
                </c:pt>
                <c:pt idx="186">
                  <c:v>28.264670373376298</c:v>
                </c:pt>
                <c:pt idx="187">
                  <c:v>28.93763871559954</c:v>
                </c:pt>
                <c:pt idx="188">
                  <c:v>28.93763871559954</c:v>
                </c:pt>
                <c:pt idx="189">
                  <c:v>27.726295699597703</c:v>
                </c:pt>
                <c:pt idx="190">
                  <c:v>27.457108362708404</c:v>
                </c:pt>
                <c:pt idx="191">
                  <c:v>28.130076704931646</c:v>
                </c:pt>
                <c:pt idx="192">
                  <c:v>27.187921025819104</c:v>
                </c:pt>
                <c:pt idx="193">
                  <c:v>27.457108362708404</c:v>
                </c:pt>
                <c:pt idx="194">
                  <c:v>27.187921025819104</c:v>
                </c:pt>
                <c:pt idx="195">
                  <c:v>27.053327357374453</c:v>
                </c:pt>
                <c:pt idx="196">
                  <c:v>26.851436854707483</c:v>
                </c:pt>
                <c:pt idx="197">
                  <c:v>27.322514694263752</c:v>
                </c:pt>
                <c:pt idx="198">
                  <c:v>27.860889368042347</c:v>
                </c:pt>
                <c:pt idx="199">
                  <c:v>27.591702031153051</c:v>
                </c:pt>
                <c:pt idx="200">
                  <c:v>27.995483036487002</c:v>
                </c:pt>
                <c:pt idx="201">
                  <c:v>29.476013389378139</c:v>
                </c:pt>
                <c:pt idx="202">
                  <c:v>31.225731079158574</c:v>
                </c:pt>
                <c:pt idx="203">
                  <c:v>30.956543742269275</c:v>
                </c:pt>
                <c:pt idx="204">
                  <c:v>33.244636105828313</c:v>
                </c:pt>
                <c:pt idx="205">
                  <c:v>33.513823442717616</c:v>
                </c:pt>
                <c:pt idx="206">
                  <c:v>34.455979121830154</c:v>
                </c:pt>
                <c:pt idx="207">
                  <c:v>33.513823442717616</c:v>
                </c:pt>
                <c:pt idx="208">
                  <c:v>34.052198116496207</c:v>
                </c:pt>
                <c:pt idx="209">
                  <c:v>32.840855100494366</c:v>
                </c:pt>
                <c:pt idx="210">
                  <c:v>33.244636105828313</c:v>
                </c:pt>
                <c:pt idx="211">
                  <c:v>32.840855100494366</c:v>
                </c:pt>
                <c:pt idx="212">
                  <c:v>32.975448768939017</c:v>
                </c:pt>
                <c:pt idx="213">
                  <c:v>31.494918416047874</c:v>
                </c:pt>
                <c:pt idx="214">
                  <c:v>31.225731079158574</c:v>
                </c:pt>
                <c:pt idx="215">
                  <c:v>30.41816906849068</c:v>
                </c:pt>
                <c:pt idx="216">
                  <c:v>30.014388063156733</c:v>
                </c:pt>
                <c:pt idx="217">
                  <c:v>28.803045047154896</c:v>
                </c:pt>
                <c:pt idx="218">
                  <c:v>30.148981731601388</c:v>
                </c:pt>
                <c:pt idx="219">
                  <c:v>31.360324747603226</c:v>
                </c:pt>
                <c:pt idx="220">
                  <c:v>30.956543742269275</c:v>
                </c:pt>
                <c:pt idx="221">
                  <c:v>30.956543742269275</c:v>
                </c:pt>
                <c:pt idx="222">
                  <c:v>30.014388063156733</c:v>
                </c:pt>
                <c:pt idx="223">
                  <c:v>30.552762736935332</c:v>
                </c:pt>
                <c:pt idx="224">
                  <c:v>31.091137410713927</c:v>
                </c:pt>
                <c:pt idx="225">
                  <c:v>32.571667763605063</c:v>
                </c:pt>
                <c:pt idx="226">
                  <c:v>33.244636105828313</c:v>
                </c:pt>
                <c:pt idx="227">
                  <c:v>33.379229774272964</c:v>
                </c:pt>
                <c:pt idx="228">
                  <c:v>33.64841711116226</c:v>
                </c:pt>
                <c:pt idx="229">
                  <c:v>33.379229774272964</c:v>
                </c:pt>
                <c:pt idx="230">
                  <c:v>32.706261432049715</c:v>
                </c:pt>
                <c:pt idx="231">
                  <c:v>33.917604448051556</c:v>
                </c:pt>
                <c:pt idx="232">
                  <c:v>33.917604448051556</c:v>
                </c:pt>
                <c:pt idx="233">
                  <c:v>34.052198116496207</c:v>
                </c:pt>
                <c:pt idx="234">
                  <c:v>33.513823442717616</c:v>
                </c:pt>
                <c:pt idx="235">
                  <c:v>32.706261432049715</c:v>
                </c:pt>
                <c:pt idx="236">
                  <c:v>32.437074095160419</c:v>
                </c:pt>
                <c:pt idx="237">
                  <c:v>35.398134800942692</c:v>
                </c:pt>
                <c:pt idx="238">
                  <c:v>35.263541132498048</c:v>
                </c:pt>
                <c:pt idx="239">
                  <c:v>35.936509474721291</c:v>
                </c:pt>
                <c:pt idx="240">
                  <c:v>36.878665153833836</c:v>
                </c:pt>
                <c:pt idx="241">
                  <c:v>37.282446159167783</c:v>
                </c:pt>
                <c:pt idx="242">
                  <c:v>36.878665153833836</c:v>
                </c:pt>
                <c:pt idx="243">
                  <c:v>36.474884148499889</c:v>
                </c:pt>
                <c:pt idx="244">
                  <c:v>35.128947464053397</c:v>
                </c:pt>
                <c:pt idx="245">
                  <c:v>35.398134800942692</c:v>
                </c:pt>
                <c:pt idx="246">
                  <c:v>34.859760127164101</c:v>
                </c:pt>
                <c:pt idx="247">
                  <c:v>34.186791784940858</c:v>
                </c:pt>
                <c:pt idx="248">
                  <c:v>33.64841711116226</c:v>
                </c:pt>
                <c:pt idx="249">
                  <c:v>34.186791784940858</c:v>
                </c:pt>
                <c:pt idx="250">
                  <c:v>34.052198116496207</c:v>
                </c:pt>
                <c:pt idx="251">
                  <c:v>34.321385453385503</c:v>
                </c:pt>
                <c:pt idx="252">
                  <c:v>33.917604448051556</c:v>
                </c:pt>
                <c:pt idx="253">
                  <c:v>33.244636105828313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CF-5843-BFFB-894C493F73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34415215"/>
        <c:axId val="834149519"/>
      </c:lineChart>
      <c:catAx>
        <c:axId val="8344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149519"/>
        <c:crosses val="autoZero"/>
        <c:auto val="1"/>
        <c:lblAlgn val="ctr"/>
        <c:lblOffset val="100"/>
        <c:noMultiLvlLbl val="0"/>
      </c:catAx>
      <c:valAx>
        <c:axId val="834149519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Yearly</a:t>
            </a:r>
            <a:r>
              <a:rPr lang="en-US" baseline="0"/>
              <a:t> </a:t>
            </a:r>
            <a:r>
              <a:rPr lang="en-US"/>
              <a:t>Portfolio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'Yearly portfolio'!$F$1</c:f>
              <c:strCache>
                <c:ptCount val="1"/>
                <c:pt idx="0">
                  <c:v> Portfolio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9.2983900972389514E-3"/>
                  <c:y val="-4.6639986798802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E94-B841-9C73-74967F3704FC}"/>
                </c:ext>
              </c:extLst>
            </c:dLbl>
            <c:dLbl>
              <c:idx val="41"/>
              <c:layout>
                <c:manualLayout>
                  <c:x val="-2.0134227369451637E-2"/>
                  <c:y val="4.7054720317116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E94-B841-9C73-74967F3704FC}"/>
                </c:ext>
              </c:extLst>
            </c:dLbl>
            <c:dLbl>
              <c:idx val="46"/>
              <c:layout>
                <c:manualLayout>
                  <c:x val="-6.195146882908187E-3"/>
                  <c:y val="-7.21505711529123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E94-B841-9C73-74967F3704FC}"/>
                </c:ext>
              </c:extLst>
            </c:dLbl>
            <c:dLbl>
              <c:idx val="82"/>
              <c:layout>
                <c:manualLayout>
                  <c:x val="-6.1951468829082442E-3"/>
                  <c:y val="5.019170167159103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E94-B841-9C73-74967F3704FC}"/>
                </c:ext>
              </c:extLst>
            </c:dLbl>
            <c:dLbl>
              <c:idx val="109"/>
              <c:layout>
                <c:manualLayout>
                  <c:x val="-2.7878160973086843E-2"/>
                  <c:y val="-5.01917016715912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E94-B841-9C73-74967F3704FC}"/>
                </c:ext>
              </c:extLst>
            </c:dLbl>
            <c:dLbl>
              <c:idx val="122"/>
              <c:layout>
                <c:manualLayout>
                  <c:x val="-7.743933603635348E-3"/>
                  <c:y val="2.82328321902700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E94-B841-9C73-74967F3704FC}"/>
                </c:ext>
              </c:extLst>
            </c:dLbl>
            <c:dLbl>
              <c:idx val="135"/>
              <c:layout>
                <c:manualLayout>
                  <c:x val="-6.195146882908187E-3"/>
                  <c:y val="-6.587660844396338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E94-B841-9C73-74967F3704FC}"/>
                </c:ext>
              </c:extLst>
            </c:dLbl>
            <c:dLbl>
              <c:idx val="196"/>
              <c:layout>
                <c:manualLayout>
                  <c:x val="-1.7036653927997514E-2"/>
                  <c:y val="4.39177389626421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E94-B841-9C73-74967F3704FC}"/>
                </c:ext>
              </c:extLst>
            </c:dLbl>
            <c:dLbl>
              <c:idx val="206"/>
              <c:layout>
                <c:manualLayout>
                  <c:x val="-1.8585440648724562E-2"/>
                  <c:y val="-5.01917016715911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E94-B841-9C73-74967F3704FC}"/>
                </c:ext>
              </c:extLst>
            </c:dLbl>
            <c:dLbl>
              <c:idx val="236"/>
              <c:layout>
                <c:manualLayout>
                  <c:x val="-5.5676813510792005E-2"/>
                  <c:y val="0.1725339744960945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E94-B841-9C73-74967F3704FC}"/>
                </c:ext>
              </c:extLst>
            </c:dLbl>
            <c:dLbl>
              <c:idx val="241"/>
              <c:layout>
                <c:manualLayout>
                  <c:x val="-4.6463601621811405E-3"/>
                  <c:y val="-4.70547203171167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E94-B841-9C73-74967F3704FC}"/>
                </c:ext>
              </c:extLst>
            </c:dLbl>
            <c:dLbl>
              <c:idx val="253"/>
              <c:layout>
                <c:manualLayout>
                  <c:x val="-7.7041602465332407E-3"/>
                  <c:y val="0.138027179596875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E94-B841-9C73-74967F3704FC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cat>
            <c:strRef>
              <c:f>'Yearly portfolio'!$A$2:$A$255</c:f>
              <c:strCache>
                <c:ptCount val="254"/>
                <c:pt idx="0">
                  <c:v>02/01/2024</c:v>
                </c:pt>
                <c:pt idx="1">
                  <c:v>03/01/2024</c:v>
                </c:pt>
                <c:pt idx="2">
                  <c:v>04/01/2024</c:v>
                </c:pt>
                <c:pt idx="3">
                  <c:v>05/01/2024</c:v>
                </c:pt>
                <c:pt idx="4">
                  <c:v>08/01/2024</c:v>
                </c:pt>
                <c:pt idx="5">
                  <c:v>09/01/2024</c:v>
                </c:pt>
                <c:pt idx="6">
                  <c:v>10/01/2024</c:v>
                </c:pt>
                <c:pt idx="7">
                  <c:v>11/01/2024</c:v>
                </c:pt>
                <c:pt idx="8">
                  <c:v>12/01/2024</c:v>
                </c:pt>
                <c:pt idx="9">
                  <c:v>15/01/2024</c:v>
                </c:pt>
                <c:pt idx="10">
                  <c:v>16/01/2024</c:v>
                </c:pt>
                <c:pt idx="11">
                  <c:v>17/01/2024</c:v>
                </c:pt>
                <c:pt idx="12">
                  <c:v>18/01/2024</c:v>
                </c:pt>
                <c:pt idx="13">
                  <c:v>19/01/2024</c:v>
                </c:pt>
                <c:pt idx="14">
                  <c:v>22/01/2024</c:v>
                </c:pt>
                <c:pt idx="15">
                  <c:v>23/01/2024</c:v>
                </c:pt>
                <c:pt idx="16">
                  <c:v>24/01/2024</c:v>
                </c:pt>
                <c:pt idx="17">
                  <c:v>25/01/2024</c:v>
                </c:pt>
                <c:pt idx="18">
                  <c:v>29/01/2024</c:v>
                </c:pt>
                <c:pt idx="19">
                  <c:v>30/01/2024</c:v>
                </c:pt>
                <c:pt idx="20">
                  <c:v>31/01/2024</c:v>
                </c:pt>
                <c:pt idx="21">
                  <c:v>01/02/2024</c:v>
                </c:pt>
                <c:pt idx="22">
                  <c:v>02/02/2024</c:v>
                </c:pt>
                <c:pt idx="23">
                  <c:v>05/02/2024</c:v>
                </c:pt>
                <c:pt idx="24">
                  <c:v>06/02/2024</c:v>
                </c:pt>
                <c:pt idx="25">
                  <c:v>07/02/2024</c:v>
                </c:pt>
                <c:pt idx="26">
                  <c:v>08/02/2024</c:v>
                </c:pt>
                <c:pt idx="27">
                  <c:v>09/02/2024</c:v>
                </c:pt>
                <c:pt idx="28">
                  <c:v>12/02/2024</c:v>
                </c:pt>
                <c:pt idx="29">
                  <c:v>13/02/2024</c:v>
                </c:pt>
                <c:pt idx="30">
                  <c:v>14/02/2024</c:v>
                </c:pt>
                <c:pt idx="31">
                  <c:v>15/02/2024</c:v>
                </c:pt>
                <c:pt idx="32">
                  <c:v>16/02/2024</c:v>
                </c:pt>
                <c:pt idx="33">
                  <c:v>19/02/2024</c:v>
                </c:pt>
                <c:pt idx="34">
                  <c:v>20/02/2024</c:v>
                </c:pt>
                <c:pt idx="35">
                  <c:v>21/02/2024</c:v>
                </c:pt>
                <c:pt idx="36">
                  <c:v>22/02/2024</c:v>
                </c:pt>
                <c:pt idx="37">
                  <c:v>23/02/2024</c:v>
                </c:pt>
                <c:pt idx="38">
                  <c:v>26/02/2024</c:v>
                </c:pt>
                <c:pt idx="39">
                  <c:v>27/02/2024</c:v>
                </c:pt>
                <c:pt idx="40">
                  <c:v>28/02/2024</c:v>
                </c:pt>
                <c:pt idx="41">
                  <c:v>29/02/2024</c:v>
                </c:pt>
                <c:pt idx="42">
                  <c:v>01/03/2024</c:v>
                </c:pt>
                <c:pt idx="43">
                  <c:v>04/03/2024</c:v>
                </c:pt>
                <c:pt idx="44">
                  <c:v>05/03/2024</c:v>
                </c:pt>
                <c:pt idx="45">
                  <c:v>06/03/2024</c:v>
                </c:pt>
                <c:pt idx="46">
                  <c:v>07/03/2024</c:v>
                </c:pt>
                <c:pt idx="47">
                  <c:v>08/03/2024</c:v>
                </c:pt>
                <c:pt idx="48">
                  <c:v>11/03/2024</c:v>
                </c:pt>
                <c:pt idx="49">
                  <c:v>12/03/2024</c:v>
                </c:pt>
                <c:pt idx="50">
                  <c:v>13/03/2024</c:v>
                </c:pt>
                <c:pt idx="51">
                  <c:v>14/03/2024</c:v>
                </c:pt>
                <c:pt idx="52">
                  <c:v>15/03/2024</c:v>
                </c:pt>
                <c:pt idx="53">
                  <c:v>18/03/2024</c:v>
                </c:pt>
                <c:pt idx="54">
                  <c:v>19/03/2024</c:v>
                </c:pt>
                <c:pt idx="55">
                  <c:v>20/03/2024</c:v>
                </c:pt>
                <c:pt idx="56">
                  <c:v>21/03/2024</c:v>
                </c:pt>
                <c:pt idx="57">
                  <c:v>22/03/2024</c:v>
                </c:pt>
                <c:pt idx="58">
                  <c:v>25/03/2024</c:v>
                </c:pt>
                <c:pt idx="59">
                  <c:v>26/03/2024</c:v>
                </c:pt>
                <c:pt idx="60">
                  <c:v>27/03/2024</c:v>
                </c:pt>
                <c:pt idx="61">
                  <c:v>28/03/2024</c:v>
                </c:pt>
                <c:pt idx="62">
                  <c:v>02/04/2024</c:v>
                </c:pt>
                <c:pt idx="63">
                  <c:v>03/04/2024</c:v>
                </c:pt>
                <c:pt idx="64">
                  <c:v>04/04/2024</c:v>
                </c:pt>
                <c:pt idx="65">
                  <c:v>05/04/2024</c:v>
                </c:pt>
                <c:pt idx="66">
                  <c:v>08/04/2024</c:v>
                </c:pt>
                <c:pt idx="67">
                  <c:v>09/04/2024</c:v>
                </c:pt>
                <c:pt idx="68">
                  <c:v>10/04/2024</c:v>
                </c:pt>
                <c:pt idx="69">
                  <c:v>11/04/2024</c:v>
                </c:pt>
                <c:pt idx="70">
                  <c:v>12/04/2024</c:v>
                </c:pt>
                <c:pt idx="71">
                  <c:v>15/04/2024</c:v>
                </c:pt>
                <c:pt idx="72">
                  <c:v>16/04/2024</c:v>
                </c:pt>
                <c:pt idx="73">
                  <c:v>17/04/2024</c:v>
                </c:pt>
                <c:pt idx="74">
                  <c:v>18/04/2024</c:v>
                </c:pt>
                <c:pt idx="75">
                  <c:v>19/04/2024</c:v>
                </c:pt>
                <c:pt idx="76">
                  <c:v>22/04/2024</c:v>
                </c:pt>
                <c:pt idx="77">
                  <c:v>23/04/2024</c:v>
                </c:pt>
                <c:pt idx="78">
                  <c:v>24/04/2024</c:v>
                </c:pt>
                <c:pt idx="79">
                  <c:v>26/04/2024</c:v>
                </c:pt>
                <c:pt idx="80">
                  <c:v>29/04/2024</c:v>
                </c:pt>
                <c:pt idx="81">
                  <c:v>30/04/2024</c:v>
                </c:pt>
                <c:pt idx="82">
                  <c:v>01/05/2024</c:v>
                </c:pt>
                <c:pt idx="83">
                  <c:v>02/05/2024</c:v>
                </c:pt>
                <c:pt idx="84">
                  <c:v>03/05/2024</c:v>
                </c:pt>
                <c:pt idx="85">
                  <c:v>06/05/2024</c:v>
                </c:pt>
                <c:pt idx="86">
                  <c:v>07/05/2024</c:v>
                </c:pt>
                <c:pt idx="87">
                  <c:v>08/05/2024</c:v>
                </c:pt>
                <c:pt idx="88">
                  <c:v>09/05/2024</c:v>
                </c:pt>
                <c:pt idx="89">
                  <c:v>10/05/2024</c:v>
                </c:pt>
                <c:pt idx="90">
                  <c:v>13/05/2024</c:v>
                </c:pt>
                <c:pt idx="91">
                  <c:v>14/05/2024</c:v>
                </c:pt>
                <c:pt idx="92">
                  <c:v>15/05/2024</c:v>
                </c:pt>
                <c:pt idx="93">
                  <c:v>16/05/2024</c:v>
                </c:pt>
                <c:pt idx="94">
                  <c:v>17/05/2024</c:v>
                </c:pt>
                <c:pt idx="95">
                  <c:v>20/05/2024</c:v>
                </c:pt>
                <c:pt idx="96">
                  <c:v>21/05/2024</c:v>
                </c:pt>
                <c:pt idx="97">
                  <c:v>22/05/2024</c:v>
                </c:pt>
                <c:pt idx="98">
                  <c:v>23/05/2024</c:v>
                </c:pt>
                <c:pt idx="99">
                  <c:v>24/05/2024</c:v>
                </c:pt>
                <c:pt idx="100">
                  <c:v>27/05/2024</c:v>
                </c:pt>
                <c:pt idx="101">
                  <c:v>28/05/2024</c:v>
                </c:pt>
                <c:pt idx="102">
                  <c:v>29/05/2024</c:v>
                </c:pt>
                <c:pt idx="103">
                  <c:v>30/05/2024</c:v>
                </c:pt>
                <c:pt idx="104">
                  <c:v>31/05/2024</c:v>
                </c:pt>
                <c:pt idx="105">
                  <c:v>03/06/2024</c:v>
                </c:pt>
                <c:pt idx="106">
                  <c:v>04/06/2024</c:v>
                </c:pt>
                <c:pt idx="107">
                  <c:v>05/06/2024</c:v>
                </c:pt>
                <c:pt idx="108">
                  <c:v>06/06/2024</c:v>
                </c:pt>
                <c:pt idx="109">
                  <c:v>07/06/2024</c:v>
                </c:pt>
                <c:pt idx="110">
                  <c:v>11/06/2024</c:v>
                </c:pt>
                <c:pt idx="111">
                  <c:v>12/06/2024</c:v>
                </c:pt>
                <c:pt idx="112">
                  <c:v>13/06/2024</c:v>
                </c:pt>
                <c:pt idx="113">
                  <c:v>14/06/2024</c:v>
                </c:pt>
                <c:pt idx="114">
                  <c:v>17/06/2024</c:v>
                </c:pt>
                <c:pt idx="115">
                  <c:v>18/06/2024</c:v>
                </c:pt>
                <c:pt idx="116">
                  <c:v>19/06/2024</c:v>
                </c:pt>
                <c:pt idx="117">
                  <c:v>20/06/2024</c:v>
                </c:pt>
                <c:pt idx="118">
                  <c:v>21/06/2024</c:v>
                </c:pt>
                <c:pt idx="119">
                  <c:v>24/06/2024</c:v>
                </c:pt>
                <c:pt idx="120">
                  <c:v>25/06/2024</c:v>
                </c:pt>
                <c:pt idx="121">
                  <c:v>26/06/2024</c:v>
                </c:pt>
                <c:pt idx="122">
                  <c:v>27/06/2024</c:v>
                </c:pt>
                <c:pt idx="123">
                  <c:v>28/06/2024</c:v>
                </c:pt>
                <c:pt idx="124">
                  <c:v>01/07/2024</c:v>
                </c:pt>
                <c:pt idx="125">
                  <c:v>02/07/2024</c:v>
                </c:pt>
                <c:pt idx="126">
                  <c:v>03/07/2024</c:v>
                </c:pt>
                <c:pt idx="127">
                  <c:v>04/07/2024</c:v>
                </c:pt>
                <c:pt idx="128">
                  <c:v>05/07/2024</c:v>
                </c:pt>
                <c:pt idx="129">
                  <c:v>08/07/2024</c:v>
                </c:pt>
                <c:pt idx="130">
                  <c:v>09/07/2024</c:v>
                </c:pt>
                <c:pt idx="131">
                  <c:v>10/07/2024</c:v>
                </c:pt>
                <c:pt idx="132">
                  <c:v>11/07/2024</c:v>
                </c:pt>
                <c:pt idx="133">
                  <c:v>12/07/2024</c:v>
                </c:pt>
                <c:pt idx="134">
                  <c:v>15/07/2024</c:v>
                </c:pt>
                <c:pt idx="135">
                  <c:v>16/07/2024</c:v>
                </c:pt>
                <c:pt idx="136">
                  <c:v>17/07/2024</c:v>
                </c:pt>
                <c:pt idx="137">
                  <c:v>18/07/2024</c:v>
                </c:pt>
                <c:pt idx="138">
                  <c:v>19/07/2024</c:v>
                </c:pt>
                <c:pt idx="139">
                  <c:v>22/07/2024</c:v>
                </c:pt>
                <c:pt idx="140">
                  <c:v>23/07/2024</c:v>
                </c:pt>
                <c:pt idx="141">
                  <c:v>24/07/2024</c:v>
                </c:pt>
                <c:pt idx="142">
                  <c:v>25/07/2024</c:v>
                </c:pt>
                <c:pt idx="143">
                  <c:v>26/07/2024</c:v>
                </c:pt>
                <c:pt idx="144">
                  <c:v>29/07/2024</c:v>
                </c:pt>
                <c:pt idx="145">
                  <c:v>30/07/2024</c:v>
                </c:pt>
                <c:pt idx="146">
                  <c:v>31/07/2024</c:v>
                </c:pt>
                <c:pt idx="147">
                  <c:v>01/08/2024</c:v>
                </c:pt>
                <c:pt idx="148">
                  <c:v>02/08/2024</c:v>
                </c:pt>
                <c:pt idx="149">
                  <c:v>05/08/2024</c:v>
                </c:pt>
                <c:pt idx="150">
                  <c:v>06/08/2024</c:v>
                </c:pt>
                <c:pt idx="151">
                  <c:v>07/08/2024</c:v>
                </c:pt>
                <c:pt idx="152">
                  <c:v>08/08/2024</c:v>
                </c:pt>
                <c:pt idx="153">
                  <c:v>09/08/2024</c:v>
                </c:pt>
                <c:pt idx="154">
                  <c:v>12/08/2024</c:v>
                </c:pt>
                <c:pt idx="155">
                  <c:v>13/08/2024</c:v>
                </c:pt>
                <c:pt idx="156">
                  <c:v>14/08/2024</c:v>
                </c:pt>
                <c:pt idx="157">
                  <c:v>15/08/2024</c:v>
                </c:pt>
                <c:pt idx="158">
                  <c:v>16/08/2024</c:v>
                </c:pt>
                <c:pt idx="159">
                  <c:v>19/08/2024</c:v>
                </c:pt>
                <c:pt idx="160">
                  <c:v>20/08/2024</c:v>
                </c:pt>
                <c:pt idx="161">
                  <c:v>21/08/2024</c:v>
                </c:pt>
                <c:pt idx="162">
                  <c:v>22/08/2024</c:v>
                </c:pt>
                <c:pt idx="163">
                  <c:v>23/08/2024</c:v>
                </c:pt>
                <c:pt idx="164">
                  <c:v>26/08/2024</c:v>
                </c:pt>
                <c:pt idx="165">
                  <c:v>27/08/2024</c:v>
                </c:pt>
                <c:pt idx="166">
                  <c:v>28/08/2024</c:v>
                </c:pt>
                <c:pt idx="167">
                  <c:v>29/08/2024</c:v>
                </c:pt>
                <c:pt idx="168">
                  <c:v>30/08/2024</c:v>
                </c:pt>
                <c:pt idx="169">
                  <c:v>02/09/2024</c:v>
                </c:pt>
                <c:pt idx="170">
                  <c:v>03/09/2024</c:v>
                </c:pt>
                <c:pt idx="171">
                  <c:v>04/09/2024</c:v>
                </c:pt>
                <c:pt idx="172">
                  <c:v>05/09/2024</c:v>
                </c:pt>
                <c:pt idx="173">
                  <c:v>06/09/2024</c:v>
                </c:pt>
                <c:pt idx="174">
                  <c:v>09/09/2024</c:v>
                </c:pt>
                <c:pt idx="175">
                  <c:v>10/09/2024</c:v>
                </c:pt>
                <c:pt idx="176">
                  <c:v>11/09/2024</c:v>
                </c:pt>
                <c:pt idx="177">
                  <c:v>12/09/2024</c:v>
                </c:pt>
                <c:pt idx="178">
                  <c:v>13/09/2024</c:v>
                </c:pt>
                <c:pt idx="179">
                  <c:v>16/09/2024</c:v>
                </c:pt>
                <c:pt idx="180">
                  <c:v>17/09/2024</c:v>
                </c:pt>
                <c:pt idx="181">
                  <c:v>18/09/2024</c:v>
                </c:pt>
                <c:pt idx="182">
                  <c:v>19/09/2024</c:v>
                </c:pt>
                <c:pt idx="183">
                  <c:v>20/09/2024</c:v>
                </c:pt>
                <c:pt idx="184">
                  <c:v>23/09/2024</c:v>
                </c:pt>
                <c:pt idx="185">
                  <c:v>24/09/2024</c:v>
                </c:pt>
                <c:pt idx="186">
                  <c:v>25/09/2024</c:v>
                </c:pt>
                <c:pt idx="187">
                  <c:v>26/09/2024</c:v>
                </c:pt>
                <c:pt idx="188">
                  <c:v>27/09/2024</c:v>
                </c:pt>
                <c:pt idx="189">
                  <c:v>30/09/2024</c:v>
                </c:pt>
                <c:pt idx="190">
                  <c:v>01/10/2024</c:v>
                </c:pt>
                <c:pt idx="191">
                  <c:v>02/10/2024</c:v>
                </c:pt>
                <c:pt idx="192">
                  <c:v>03/10/2024</c:v>
                </c:pt>
                <c:pt idx="193">
                  <c:v>04/10/2024</c:v>
                </c:pt>
                <c:pt idx="194">
                  <c:v>07/10/2024</c:v>
                </c:pt>
                <c:pt idx="195">
                  <c:v>08/10/2024</c:v>
                </c:pt>
                <c:pt idx="196">
                  <c:v>09/10/2024</c:v>
                </c:pt>
                <c:pt idx="197">
                  <c:v>10/10/2024</c:v>
                </c:pt>
                <c:pt idx="198">
                  <c:v>11/10/2024</c:v>
                </c:pt>
                <c:pt idx="199">
                  <c:v>14/10/2024</c:v>
                </c:pt>
                <c:pt idx="200">
                  <c:v>15/10/2024</c:v>
                </c:pt>
                <c:pt idx="201">
                  <c:v>16/10/2024</c:v>
                </c:pt>
                <c:pt idx="202">
                  <c:v>17/10/2024</c:v>
                </c:pt>
                <c:pt idx="203">
                  <c:v>18/10/2024</c:v>
                </c:pt>
                <c:pt idx="204">
                  <c:v>21/10/2024</c:v>
                </c:pt>
                <c:pt idx="205">
                  <c:v>22/10/2024</c:v>
                </c:pt>
                <c:pt idx="206">
                  <c:v>23/10/2024</c:v>
                </c:pt>
                <c:pt idx="207">
                  <c:v>24/10/2024</c:v>
                </c:pt>
                <c:pt idx="208">
                  <c:v>25/10/2024</c:v>
                </c:pt>
                <c:pt idx="209">
                  <c:v>28/10/2024</c:v>
                </c:pt>
                <c:pt idx="210">
                  <c:v>29/10/2024</c:v>
                </c:pt>
                <c:pt idx="211">
                  <c:v>30/10/2024</c:v>
                </c:pt>
                <c:pt idx="212">
                  <c:v>31/10/2024</c:v>
                </c:pt>
                <c:pt idx="213">
                  <c:v>01/11/2024</c:v>
                </c:pt>
                <c:pt idx="214">
                  <c:v>04/11/2024</c:v>
                </c:pt>
                <c:pt idx="215">
                  <c:v>05/11/2024</c:v>
                </c:pt>
                <c:pt idx="216">
                  <c:v>06/11/2024</c:v>
                </c:pt>
                <c:pt idx="217">
                  <c:v>07/11/2024</c:v>
                </c:pt>
                <c:pt idx="218">
                  <c:v>08/11/2024</c:v>
                </c:pt>
                <c:pt idx="219">
                  <c:v>11/11/2024</c:v>
                </c:pt>
                <c:pt idx="220">
                  <c:v>12/11/2024</c:v>
                </c:pt>
                <c:pt idx="221">
                  <c:v>13/11/2024</c:v>
                </c:pt>
                <c:pt idx="222">
                  <c:v>14/11/2024</c:v>
                </c:pt>
                <c:pt idx="223">
                  <c:v>15/11/2024</c:v>
                </c:pt>
                <c:pt idx="224">
                  <c:v>18/11/2024</c:v>
                </c:pt>
                <c:pt idx="225">
                  <c:v>19/11/2024</c:v>
                </c:pt>
                <c:pt idx="226">
                  <c:v>20/11/2024</c:v>
                </c:pt>
                <c:pt idx="227">
                  <c:v>21/11/2024</c:v>
                </c:pt>
                <c:pt idx="228">
                  <c:v>22/11/2024</c:v>
                </c:pt>
                <c:pt idx="229">
                  <c:v>25/11/2024</c:v>
                </c:pt>
                <c:pt idx="230">
                  <c:v>26/11/2024</c:v>
                </c:pt>
                <c:pt idx="231">
                  <c:v>27/11/2024</c:v>
                </c:pt>
                <c:pt idx="232">
                  <c:v>28/11/2024</c:v>
                </c:pt>
                <c:pt idx="233">
                  <c:v>29/11/2024</c:v>
                </c:pt>
                <c:pt idx="234">
                  <c:v>02/12/2024</c:v>
                </c:pt>
                <c:pt idx="235">
                  <c:v>03/12/2024</c:v>
                </c:pt>
                <c:pt idx="236">
                  <c:v>04/12/2024</c:v>
                </c:pt>
                <c:pt idx="237">
                  <c:v>05/12/2024</c:v>
                </c:pt>
                <c:pt idx="238">
                  <c:v>06/12/2024</c:v>
                </c:pt>
                <c:pt idx="239">
                  <c:v>09/12/2024</c:v>
                </c:pt>
                <c:pt idx="240">
                  <c:v>10/12/2024</c:v>
                </c:pt>
                <c:pt idx="241">
                  <c:v>11/12/2024</c:v>
                </c:pt>
                <c:pt idx="242">
                  <c:v>12/12/2024</c:v>
                </c:pt>
                <c:pt idx="243">
                  <c:v>13/12/2024</c:v>
                </c:pt>
                <c:pt idx="244">
                  <c:v>16/12/2024</c:v>
                </c:pt>
                <c:pt idx="245">
                  <c:v>17/12/2024</c:v>
                </c:pt>
                <c:pt idx="246">
                  <c:v>18/12/2024</c:v>
                </c:pt>
                <c:pt idx="247">
                  <c:v>19/12/2024</c:v>
                </c:pt>
                <c:pt idx="248">
                  <c:v>20/12/2024</c:v>
                </c:pt>
                <c:pt idx="249">
                  <c:v>23/12/2024</c:v>
                </c:pt>
                <c:pt idx="250">
                  <c:v>24/12/2024</c:v>
                </c:pt>
                <c:pt idx="251">
                  <c:v>27/12/2024</c:v>
                </c:pt>
                <c:pt idx="252">
                  <c:v>30/12/2024</c:v>
                </c:pt>
                <c:pt idx="253">
                  <c:v>31/12/2024</c:v>
                </c:pt>
              </c:strCache>
            </c:strRef>
          </c:cat>
          <c:val>
            <c:numRef>
              <c:f>'Yearly portfolio'!$F$2:$F$255</c:f>
              <c:numCache>
                <c:formatCode>_("$"* #,##0.00_);_("$"* \(#,##0.00\);_("$"* "-"??_);_(@_)</c:formatCode>
                <c:ptCount val="254"/>
                <c:pt idx="0">
                  <c:v>1000</c:v>
                </c:pt>
                <c:pt idx="1">
                  <c:v>950.54399999999998</c:v>
                </c:pt>
                <c:pt idx="2">
                  <c:v>913.25</c:v>
                </c:pt>
                <c:pt idx="3">
                  <c:v>913.25</c:v>
                </c:pt>
                <c:pt idx="4">
                  <c:v>916.06</c:v>
                </c:pt>
                <c:pt idx="5">
                  <c:v>902.01</c:v>
                </c:pt>
                <c:pt idx="6">
                  <c:v>893.58</c:v>
                </c:pt>
                <c:pt idx="7">
                  <c:v>907.63</c:v>
                </c:pt>
                <c:pt idx="8">
                  <c:v>910.44</c:v>
                </c:pt>
                <c:pt idx="9">
                  <c:v>921.68</c:v>
                </c:pt>
                <c:pt idx="10">
                  <c:v>927.3</c:v>
                </c:pt>
                <c:pt idx="11">
                  <c:v>910.44</c:v>
                </c:pt>
                <c:pt idx="12">
                  <c:v>893.58</c:v>
                </c:pt>
                <c:pt idx="13">
                  <c:v>902.01</c:v>
                </c:pt>
                <c:pt idx="14">
                  <c:v>902.01</c:v>
                </c:pt>
                <c:pt idx="15">
                  <c:v>859.86</c:v>
                </c:pt>
                <c:pt idx="16">
                  <c:v>890.77</c:v>
                </c:pt>
                <c:pt idx="17">
                  <c:v>879.53</c:v>
                </c:pt>
                <c:pt idx="18">
                  <c:v>873.91</c:v>
                </c:pt>
                <c:pt idx="19">
                  <c:v>899.2</c:v>
                </c:pt>
                <c:pt idx="20">
                  <c:v>913.25</c:v>
                </c:pt>
                <c:pt idx="21">
                  <c:v>902.01</c:v>
                </c:pt>
                <c:pt idx="22">
                  <c:v>952.59</c:v>
                </c:pt>
                <c:pt idx="23">
                  <c:v>902.01</c:v>
                </c:pt>
                <c:pt idx="24">
                  <c:v>890.77</c:v>
                </c:pt>
                <c:pt idx="25">
                  <c:v>902.01</c:v>
                </c:pt>
                <c:pt idx="26">
                  <c:v>904.82</c:v>
                </c:pt>
                <c:pt idx="27">
                  <c:v>876.72</c:v>
                </c:pt>
                <c:pt idx="28">
                  <c:v>865.48</c:v>
                </c:pt>
                <c:pt idx="29">
                  <c:v>882.34</c:v>
                </c:pt>
                <c:pt idx="30">
                  <c:v>854.24</c:v>
                </c:pt>
                <c:pt idx="31">
                  <c:v>845.81</c:v>
                </c:pt>
                <c:pt idx="32">
                  <c:v>857.05</c:v>
                </c:pt>
                <c:pt idx="33">
                  <c:v>857.05</c:v>
                </c:pt>
                <c:pt idx="34">
                  <c:v>865.48</c:v>
                </c:pt>
                <c:pt idx="35">
                  <c:v>879.53</c:v>
                </c:pt>
                <c:pt idx="36">
                  <c:v>873.91</c:v>
                </c:pt>
                <c:pt idx="37">
                  <c:v>876.72</c:v>
                </c:pt>
                <c:pt idx="38">
                  <c:v>904.82</c:v>
                </c:pt>
                <c:pt idx="39">
                  <c:v>882.34</c:v>
                </c:pt>
                <c:pt idx="40">
                  <c:v>885.15</c:v>
                </c:pt>
                <c:pt idx="41">
                  <c:v>859.86</c:v>
                </c:pt>
                <c:pt idx="42">
                  <c:v>887.96</c:v>
                </c:pt>
                <c:pt idx="43">
                  <c:v>955.4</c:v>
                </c:pt>
                <c:pt idx="44">
                  <c:v>1025.6499999999999</c:v>
                </c:pt>
                <c:pt idx="45">
                  <c:v>1042.51</c:v>
                </c:pt>
                <c:pt idx="46">
                  <c:v>1077.354</c:v>
                </c:pt>
                <c:pt idx="47">
                  <c:v>1045.3200000000002</c:v>
                </c:pt>
                <c:pt idx="48">
                  <c:v>1050.94</c:v>
                </c:pt>
                <c:pt idx="49">
                  <c:v>1064.99</c:v>
                </c:pt>
                <c:pt idx="50">
                  <c:v>1062.1799999999998</c:v>
                </c:pt>
                <c:pt idx="51">
                  <c:v>1064.99</c:v>
                </c:pt>
                <c:pt idx="52">
                  <c:v>1079.04</c:v>
                </c:pt>
                <c:pt idx="53">
                  <c:v>1048.1299999999999</c:v>
                </c:pt>
                <c:pt idx="54">
                  <c:v>1059.3700000000001</c:v>
                </c:pt>
                <c:pt idx="55">
                  <c:v>1056.56</c:v>
                </c:pt>
                <c:pt idx="56">
                  <c:v>1079.04</c:v>
                </c:pt>
                <c:pt idx="57">
                  <c:v>1011.6</c:v>
                </c:pt>
                <c:pt idx="58">
                  <c:v>1011.6</c:v>
                </c:pt>
                <c:pt idx="59">
                  <c:v>989.12</c:v>
                </c:pt>
                <c:pt idx="60">
                  <c:v>1014.41</c:v>
                </c:pt>
                <c:pt idx="61">
                  <c:v>1042.51</c:v>
                </c:pt>
                <c:pt idx="62">
                  <c:v>1087.47</c:v>
                </c:pt>
                <c:pt idx="63">
                  <c:v>1070.6100000000001</c:v>
                </c:pt>
                <c:pt idx="64">
                  <c:v>1073.4199999999998</c:v>
                </c:pt>
                <c:pt idx="65">
                  <c:v>1042.51</c:v>
                </c:pt>
                <c:pt idx="66">
                  <c:v>1093.0900000000001</c:v>
                </c:pt>
                <c:pt idx="67">
                  <c:v>1095.8999999999999</c:v>
                </c:pt>
                <c:pt idx="68">
                  <c:v>1093.0900000000001</c:v>
                </c:pt>
                <c:pt idx="69">
                  <c:v>1076.23</c:v>
                </c:pt>
                <c:pt idx="70">
                  <c:v>1115.5700000000002</c:v>
                </c:pt>
                <c:pt idx="71">
                  <c:v>1064.99</c:v>
                </c:pt>
                <c:pt idx="72">
                  <c:v>1036.8899999999999</c:v>
                </c:pt>
                <c:pt idx="73">
                  <c:v>1056.56</c:v>
                </c:pt>
                <c:pt idx="74">
                  <c:v>1025.6499999999999</c:v>
                </c:pt>
                <c:pt idx="75">
                  <c:v>1053.75</c:v>
                </c:pt>
                <c:pt idx="76">
                  <c:v>1031.27</c:v>
                </c:pt>
                <c:pt idx="77">
                  <c:v>980.69</c:v>
                </c:pt>
                <c:pt idx="78">
                  <c:v>991.93</c:v>
                </c:pt>
                <c:pt idx="79">
                  <c:v>986.31</c:v>
                </c:pt>
                <c:pt idx="80">
                  <c:v>994.74</c:v>
                </c:pt>
                <c:pt idx="81">
                  <c:v>989.12</c:v>
                </c:pt>
                <c:pt idx="82">
                  <c:v>944.16</c:v>
                </c:pt>
                <c:pt idx="83">
                  <c:v>955.4</c:v>
                </c:pt>
                <c:pt idx="84">
                  <c:v>955.4</c:v>
                </c:pt>
                <c:pt idx="85">
                  <c:v>961.02</c:v>
                </c:pt>
                <c:pt idx="86">
                  <c:v>1005.98</c:v>
                </c:pt>
                <c:pt idx="87">
                  <c:v>1008.79</c:v>
                </c:pt>
                <c:pt idx="88">
                  <c:v>994.74</c:v>
                </c:pt>
                <c:pt idx="89">
                  <c:v>1020.03</c:v>
                </c:pt>
                <c:pt idx="90">
                  <c:v>1025.6499999999999</c:v>
                </c:pt>
                <c:pt idx="91">
                  <c:v>1036.8899999999999</c:v>
                </c:pt>
                <c:pt idx="92">
                  <c:v>1020.03</c:v>
                </c:pt>
                <c:pt idx="93">
                  <c:v>1053.75</c:v>
                </c:pt>
                <c:pt idx="94">
                  <c:v>1050.94</c:v>
                </c:pt>
                <c:pt idx="95">
                  <c:v>1076.23</c:v>
                </c:pt>
                <c:pt idx="96">
                  <c:v>1079.04</c:v>
                </c:pt>
                <c:pt idx="97">
                  <c:v>1062.1799999999998</c:v>
                </c:pt>
                <c:pt idx="98">
                  <c:v>1005.98</c:v>
                </c:pt>
                <c:pt idx="99">
                  <c:v>1000.36</c:v>
                </c:pt>
                <c:pt idx="100">
                  <c:v>1042.51</c:v>
                </c:pt>
                <c:pt idx="101">
                  <c:v>1039.7</c:v>
                </c:pt>
                <c:pt idx="102">
                  <c:v>1073.4199999999998</c:v>
                </c:pt>
                <c:pt idx="103">
                  <c:v>1011.6</c:v>
                </c:pt>
                <c:pt idx="104">
                  <c:v>1053.75</c:v>
                </c:pt>
                <c:pt idx="105">
                  <c:v>1020.03</c:v>
                </c:pt>
                <c:pt idx="106">
                  <c:v>1022.84</c:v>
                </c:pt>
                <c:pt idx="107">
                  <c:v>1028.46</c:v>
                </c:pt>
                <c:pt idx="108">
                  <c:v>1079.04</c:v>
                </c:pt>
                <c:pt idx="109">
                  <c:v>1118.3799999999999</c:v>
                </c:pt>
                <c:pt idx="110">
                  <c:v>1020.03</c:v>
                </c:pt>
                <c:pt idx="111">
                  <c:v>1008.79</c:v>
                </c:pt>
                <c:pt idx="112">
                  <c:v>1000.36</c:v>
                </c:pt>
                <c:pt idx="113">
                  <c:v>969.45</c:v>
                </c:pt>
                <c:pt idx="114">
                  <c:v>991.93</c:v>
                </c:pt>
                <c:pt idx="115">
                  <c:v>991.93</c:v>
                </c:pt>
                <c:pt idx="116">
                  <c:v>1017.22</c:v>
                </c:pt>
                <c:pt idx="117">
                  <c:v>1017.22</c:v>
                </c:pt>
                <c:pt idx="118">
                  <c:v>1062.1799999999998</c:v>
                </c:pt>
                <c:pt idx="119">
                  <c:v>1028.46</c:v>
                </c:pt>
                <c:pt idx="120">
                  <c:v>1028.46</c:v>
                </c:pt>
                <c:pt idx="121">
                  <c:v>983.5</c:v>
                </c:pt>
                <c:pt idx="122">
                  <c:v>972.26</c:v>
                </c:pt>
                <c:pt idx="123">
                  <c:v>986.31</c:v>
                </c:pt>
                <c:pt idx="124">
                  <c:v>991.93</c:v>
                </c:pt>
                <c:pt idx="125">
                  <c:v>989.12</c:v>
                </c:pt>
                <c:pt idx="126">
                  <c:v>1008.79</c:v>
                </c:pt>
                <c:pt idx="127">
                  <c:v>1048.1299999999999</c:v>
                </c:pt>
                <c:pt idx="128">
                  <c:v>1064.99</c:v>
                </c:pt>
                <c:pt idx="129">
                  <c:v>1056.56</c:v>
                </c:pt>
                <c:pt idx="130">
                  <c:v>1064.99</c:v>
                </c:pt>
                <c:pt idx="131">
                  <c:v>1056.56</c:v>
                </c:pt>
                <c:pt idx="132">
                  <c:v>1098.71</c:v>
                </c:pt>
                <c:pt idx="133">
                  <c:v>1163.3399999999999</c:v>
                </c:pt>
                <c:pt idx="134">
                  <c:v>1191.44</c:v>
                </c:pt>
                <c:pt idx="135">
                  <c:v>1208.3</c:v>
                </c:pt>
                <c:pt idx="136">
                  <c:v>1213.92</c:v>
                </c:pt>
                <c:pt idx="137">
                  <c:v>1208.3</c:v>
                </c:pt>
                <c:pt idx="138">
                  <c:v>1208.3</c:v>
                </c:pt>
                <c:pt idx="139">
                  <c:v>1219.54</c:v>
                </c:pt>
                <c:pt idx="140">
                  <c:v>1191.44</c:v>
                </c:pt>
                <c:pt idx="141">
                  <c:v>1219.54</c:v>
                </c:pt>
                <c:pt idx="142">
                  <c:v>1191.44</c:v>
                </c:pt>
                <c:pt idx="143">
                  <c:v>1163.3399999999999</c:v>
                </c:pt>
                <c:pt idx="144">
                  <c:v>1157.72</c:v>
                </c:pt>
                <c:pt idx="145">
                  <c:v>1135.24</c:v>
                </c:pt>
                <c:pt idx="146">
                  <c:v>1174.58</c:v>
                </c:pt>
                <c:pt idx="147">
                  <c:v>1185.82</c:v>
                </c:pt>
                <c:pt idx="148">
                  <c:v>1191.44</c:v>
                </c:pt>
                <c:pt idx="149">
                  <c:v>1168.96</c:v>
                </c:pt>
                <c:pt idx="150">
                  <c:v>1135.24</c:v>
                </c:pt>
                <c:pt idx="151">
                  <c:v>1140.8599999999999</c:v>
                </c:pt>
                <c:pt idx="152">
                  <c:v>1115.5700000000002</c:v>
                </c:pt>
                <c:pt idx="153">
                  <c:v>1157.72</c:v>
                </c:pt>
                <c:pt idx="154">
                  <c:v>1146.48</c:v>
                </c:pt>
                <c:pt idx="155">
                  <c:v>1242.02</c:v>
                </c:pt>
                <c:pt idx="156">
                  <c:v>1236.4000000000001</c:v>
                </c:pt>
                <c:pt idx="157">
                  <c:v>1225.1600000000001</c:v>
                </c:pt>
                <c:pt idx="158">
                  <c:v>1236.4000000000001</c:v>
                </c:pt>
                <c:pt idx="159">
                  <c:v>1219.54</c:v>
                </c:pt>
                <c:pt idx="160">
                  <c:v>1225.1600000000001</c:v>
                </c:pt>
                <c:pt idx="161">
                  <c:v>1242.02</c:v>
                </c:pt>
                <c:pt idx="162">
                  <c:v>1247.6400000000001</c:v>
                </c:pt>
                <c:pt idx="163">
                  <c:v>1236.4000000000001</c:v>
                </c:pt>
                <c:pt idx="164">
                  <c:v>1236.4000000000001</c:v>
                </c:pt>
                <c:pt idx="165">
                  <c:v>1230.78</c:v>
                </c:pt>
                <c:pt idx="166">
                  <c:v>1230.78</c:v>
                </c:pt>
                <c:pt idx="167">
                  <c:v>1202.68</c:v>
                </c:pt>
                <c:pt idx="168">
                  <c:v>1275.74</c:v>
                </c:pt>
                <c:pt idx="169">
                  <c:v>1236.4000000000001</c:v>
                </c:pt>
                <c:pt idx="170">
                  <c:v>1230.78</c:v>
                </c:pt>
                <c:pt idx="171">
                  <c:v>1163.3399999999999</c:v>
                </c:pt>
                <c:pt idx="172">
                  <c:v>1202.68</c:v>
                </c:pt>
                <c:pt idx="173">
                  <c:v>1225.1600000000001</c:v>
                </c:pt>
                <c:pt idx="174">
                  <c:v>1163.3399999999999</c:v>
                </c:pt>
                <c:pt idx="175">
                  <c:v>1185.82</c:v>
                </c:pt>
                <c:pt idx="176">
                  <c:v>1185.82</c:v>
                </c:pt>
                <c:pt idx="177">
                  <c:v>1208.3</c:v>
                </c:pt>
                <c:pt idx="178">
                  <c:v>1236.4000000000001</c:v>
                </c:pt>
                <c:pt idx="179">
                  <c:v>1219.54</c:v>
                </c:pt>
                <c:pt idx="180">
                  <c:v>1185.82</c:v>
                </c:pt>
                <c:pt idx="181">
                  <c:v>1180.2</c:v>
                </c:pt>
                <c:pt idx="182">
                  <c:v>1191.44</c:v>
                </c:pt>
                <c:pt idx="183">
                  <c:v>1185.82</c:v>
                </c:pt>
                <c:pt idx="184">
                  <c:v>1185.82</c:v>
                </c:pt>
                <c:pt idx="185">
                  <c:v>1163.3399999999999</c:v>
                </c:pt>
                <c:pt idx="186">
                  <c:v>1180.2</c:v>
                </c:pt>
                <c:pt idx="187">
                  <c:v>1208.3</c:v>
                </c:pt>
                <c:pt idx="188">
                  <c:v>1208.3</c:v>
                </c:pt>
                <c:pt idx="189">
                  <c:v>1157.72</c:v>
                </c:pt>
                <c:pt idx="190">
                  <c:v>1146.48</c:v>
                </c:pt>
                <c:pt idx="191">
                  <c:v>1174.58</c:v>
                </c:pt>
                <c:pt idx="192">
                  <c:v>1135.24</c:v>
                </c:pt>
                <c:pt idx="193">
                  <c:v>1146.48</c:v>
                </c:pt>
                <c:pt idx="194">
                  <c:v>1135.24</c:v>
                </c:pt>
                <c:pt idx="195">
                  <c:v>1129.6199999999999</c:v>
                </c:pt>
                <c:pt idx="196">
                  <c:v>1121.19</c:v>
                </c:pt>
                <c:pt idx="197">
                  <c:v>1140.8599999999999</c:v>
                </c:pt>
                <c:pt idx="198">
                  <c:v>1163.3399999999999</c:v>
                </c:pt>
                <c:pt idx="199">
                  <c:v>1152.0999999999999</c:v>
                </c:pt>
                <c:pt idx="200">
                  <c:v>1168.96</c:v>
                </c:pt>
                <c:pt idx="201">
                  <c:v>1230.78</c:v>
                </c:pt>
                <c:pt idx="202">
                  <c:v>1303.8399999999999</c:v>
                </c:pt>
                <c:pt idx="203">
                  <c:v>1292.5999999999999</c:v>
                </c:pt>
                <c:pt idx="204">
                  <c:v>1388.14</c:v>
                </c:pt>
                <c:pt idx="205">
                  <c:v>1399.38</c:v>
                </c:pt>
                <c:pt idx="206">
                  <c:v>1438.72</c:v>
                </c:pt>
                <c:pt idx="207">
                  <c:v>1399.38</c:v>
                </c:pt>
                <c:pt idx="208">
                  <c:v>1421.86</c:v>
                </c:pt>
                <c:pt idx="209">
                  <c:v>1371.28</c:v>
                </c:pt>
                <c:pt idx="210">
                  <c:v>1388.14</c:v>
                </c:pt>
                <c:pt idx="211">
                  <c:v>1371.28</c:v>
                </c:pt>
                <c:pt idx="212">
                  <c:v>1376.9</c:v>
                </c:pt>
                <c:pt idx="213">
                  <c:v>1315.08</c:v>
                </c:pt>
                <c:pt idx="214">
                  <c:v>1303.8399999999999</c:v>
                </c:pt>
                <c:pt idx="215">
                  <c:v>1270.1199999999999</c:v>
                </c:pt>
                <c:pt idx="216">
                  <c:v>1253.26</c:v>
                </c:pt>
                <c:pt idx="217">
                  <c:v>1202.68</c:v>
                </c:pt>
                <c:pt idx="218">
                  <c:v>1258.8800000000001</c:v>
                </c:pt>
                <c:pt idx="219">
                  <c:v>1309.46</c:v>
                </c:pt>
                <c:pt idx="220">
                  <c:v>1292.5999999999999</c:v>
                </c:pt>
                <c:pt idx="221">
                  <c:v>1292.5999999999999</c:v>
                </c:pt>
                <c:pt idx="222">
                  <c:v>1253.26</c:v>
                </c:pt>
                <c:pt idx="223">
                  <c:v>1275.74</c:v>
                </c:pt>
                <c:pt idx="224">
                  <c:v>1298.22</c:v>
                </c:pt>
                <c:pt idx="225">
                  <c:v>1360.04</c:v>
                </c:pt>
                <c:pt idx="226">
                  <c:v>1388.14</c:v>
                </c:pt>
                <c:pt idx="227">
                  <c:v>1393.76</c:v>
                </c:pt>
                <c:pt idx="228">
                  <c:v>1405</c:v>
                </c:pt>
                <c:pt idx="229">
                  <c:v>1393.76</c:v>
                </c:pt>
                <c:pt idx="230">
                  <c:v>1365.66</c:v>
                </c:pt>
                <c:pt idx="231">
                  <c:v>1416.24</c:v>
                </c:pt>
                <c:pt idx="232">
                  <c:v>1416.24</c:v>
                </c:pt>
                <c:pt idx="233">
                  <c:v>1421.86</c:v>
                </c:pt>
                <c:pt idx="234">
                  <c:v>1399.38</c:v>
                </c:pt>
                <c:pt idx="235">
                  <c:v>1365.66</c:v>
                </c:pt>
                <c:pt idx="236">
                  <c:v>1354.42</c:v>
                </c:pt>
                <c:pt idx="237">
                  <c:v>1478.06</c:v>
                </c:pt>
                <c:pt idx="238">
                  <c:v>1472.44</c:v>
                </c:pt>
                <c:pt idx="239">
                  <c:v>1500.54</c:v>
                </c:pt>
                <c:pt idx="240">
                  <c:v>1539.88</c:v>
                </c:pt>
                <c:pt idx="241">
                  <c:v>1556.74</c:v>
                </c:pt>
                <c:pt idx="242">
                  <c:v>1539.88</c:v>
                </c:pt>
                <c:pt idx="243">
                  <c:v>1523.02</c:v>
                </c:pt>
                <c:pt idx="244">
                  <c:v>1466.82</c:v>
                </c:pt>
                <c:pt idx="245">
                  <c:v>1478.06</c:v>
                </c:pt>
                <c:pt idx="246">
                  <c:v>1455.58</c:v>
                </c:pt>
                <c:pt idx="247">
                  <c:v>1427.48</c:v>
                </c:pt>
                <c:pt idx="248">
                  <c:v>1405</c:v>
                </c:pt>
                <c:pt idx="249">
                  <c:v>1427.48</c:v>
                </c:pt>
                <c:pt idx="250">
                  <c:v>1421.86</c:v>
                </c:pt>
                <c:pt idx="251">
                  <c:v>1433.1</c:v>
                </c:pt>
                <c:pt idx="252">
                  <c:v>1416.24</c:v>
                </c:pt>
                <c:pt idx="253">
                  <c:v>1388.14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8B-8A4B-A6F9-5E21BE2F6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7403103"/>
        <c:axId val="915931791"/>
      </c:lineChart>
      <c:catAx>
        <c:axId val="807403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31791"/>
        <c:crosses val="autoZero"/>
        <c:auto val="1"/>
        <c:lblAlgn val="ctr"/>
        <c:lblOffset val="100"/>
        <c:noMultiLvlLbl val="0"/>
      </c:catAx>
      <c:valAx>
        <c:axId val="915931791"/>
        <c:scaling>
          <c:orientation val="minMax"/>
          <c:max val="160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7403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GMD 2024 Maximum</a:t>
            </a:r>
            <a:r>
              <a:rPr lang="en-GB" baseline="0"/>
              <a:t> return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>
        <c:manualLayout>
          <c:layoutTarget val="inner"/>
          <c:xMode val="edge"/>
          <c:yMode val="edge"/>
          <c:x val="9.1468844184967021E-2"/>
          <c:y val="0.10497968196393484"/>
          <c:w val="0.81073809414846443"/>
          <c:h val="0.685909403504275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'1xtrade'!$M$6</c:f>
              <c:strCache>
                <c:ptCount val="1"/>
                <c:pt idx="0">
                  <c:v>  Close price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'1xtrade'!$L$7:$L$8</c:f>
              <c:numCache>
                <c:formatCode>m/d/yy</c:formatCode>
                <c:ptCount val="2"/>
                <c:pt idx="0">
                  <c:v>45337</c:v>
                </c:pt>
                <c:pt idx="1">
                  <c:v>45637</c:v>
                </c:pt>
              </c:numCache>
            </c:numRef>
          </c:cat>
          <c:val>
            <c:numRef>
              <c:f>'1xtrade'!$M$7:$M$8</c:f>
              <c:numCache>
                <c:formatCode>General</c:formatCode>
                <c:ptCount val="2"/>
                <c:pt idx="0">
                  <c:v>1.51</c:v>
                </c:pt>
                <c:pt idx="1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FB-A94E-AE6C-B01715496105}"/>
            </c:ext>
          </c:extLst>
        </c:ser>
        <c:ser>
          <c:idx val="1"/>
          <c:order val="1"/>
          <c:tx>
            <c:strRef>
              <c:f>'1xtrade'!$N$6</c:f>
              <c:strCache>
                <c:ptCount val="1"/>
                <c:pt idx="0">
                  <c:v> Invested value($)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353247426837247E-3"/>
                  <c:y val="0.1363962953191011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55A-F44C-AEDE-DDBCCDA224BE}"/>
                </c:ext>
              </c:extLst>
            </c:dLbl>
            <c:dLbl>
              <c:idx val="1"/>
              <c:layout>
                <c:manualLayout>
                  <c:x val="2.7676623713416338E-3"/>
                  <c:y val="0.272792590638202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55A-F44C-AEDE-DDBCCDA224BE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'1xtrade'!$L$7:$L$8</c:f>
              <c:numCache>
                <c:formatCode>m/d/yy</c:formatCode>
                <c:ptCount val="2"/>
                <c:pt idx="0">
                  <c:v>45337</c:v>
                </c:pt>
                <c:pt idx="1">
                  <c:v>45637</c:v>
                </c:pt>
              </c:numCache>
            </c:numRef>
          </c:cat>
          <c:val>
            <c:numRef>
              <c:f>'1xtrade'!$N$7:$N$8</c:f>
              <c:numCache>
                <c:formatCode>General</c:formatCode>
                <c:ptCount val="2"/>
                <c:pt idx="0" formatCode="0.00">
                  <c:v>845.81</c:v>
                </c:pt>
                <c:pt idx="1">
                  <c:v>1556.74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FB-A94E-AE6C-B01715496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1493583"/>
        <c:axId val="91933888"/>
      </c:barChart>
      <c:lineChart>
        <c:grouping val="standard"/>
        <c:varyColors val="0"/>
        <c:ser>
          <c:idx val="2"/>
          <c:order val="2"/>
          <c:tx>
            <c:strRef>
              <c:f>'1xtrade'!$O$6</c:f>
              <c:strCache>
                <c:ptCount val="1"/>
                <c:pt idx="0">
                  <c:v> Profit%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0.11070649485367345"/>
                  <c:y val="9.093086354606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55A-F44C-AEDE-DDBCCDA224BE}"/>
                </c:ext>
              </c:extLst>
            </c:dLbl>
            <c:dLbl>
              <c:idx val="1"/>
              <c:layout>
                <c:manualLayout>
                  <c:x val="-1.3838311856709183E-2"/>
                  <c:y val="-9.0930863546067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55A-F44C-AEDE-DDBCCDA224B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'1xtrade'!$L$7:$L$8</c:f>
              <c:numCache>
                <c:formatCode>m/d/yy</c:formatCode>
                <c:ptCount val="2"/>
                <c:pt idx="0">
                  <c:v>45337</c:v>
                </c:pt>
                <c:pt idx="1">
                  <c:v>45637</c:v>
                </c:pt>
              </c:numCache>
            </c:numRef>
          </c:cat>
          <c:val>
            <c:numRef>
              <c:f>'1xtrade'!$O$7:$O$8</c:f>
              <c:numCache>
                <c:formatCode>0%</c:formatCode>
                <c:ptCount val="2"/>
                <c:pt idx="0">
                  <c:v>1</c:v>
                </c:pt>
                <c:pt idx="1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FB-A94E-AE6C-B01715496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6366543"/>
        <c:axId val="931576079"/>
      </c:lineChart>
      <c:catAx>
        <c:axId val="196149358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933888"/>
        <c:crosses val="autoZero"/>
        <c:auto val="0"/>
        <c:lblAlgn val="ctr"/>
        <c:lblOffset val="100"/>
        <c:noMultiLvlLbl val="0"/>
      </c:catAx>
      <c:valAx>
        <c:axId val="919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1493583"/>
        <c:crosses val="autoZero"/>
        <c:crossBetween val="between"/>
      </c:valAx>
      <c:valAx>
        <c:axId val="931576079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6366543"/>
        <c:crosses val="max"/>
        <c:crossBetween val="between"/>
      </c:valAx>
      <c:dateAx>
        <c:axId val="836366543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93157607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GMD</a:t>
            </a:r>
            <a:r>
              <a:rPr lang="en-GB" baseline="0"/>
              <a:t> 2024 Maximum Return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'Maximum Trade'!$U$1</c:f>
              <c:strCache>
                <c:ptCount val="1"/>
                <c:pt idx="0">
                  <c:v>  Close price($)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'Maximum Trade'!$T$2:$T$11</c:f>
              <c:numCache>
                <c:formatCode>m/d/yy</c:formatCode>
                <c:ptCount val="10"/>
                <c:pt idx="0">
                  <c:v>45351</c:v>
                </c:pt>
                <c:pt idx="1">
                  <c:v>45358</c:v>
                </c:pt>
                <c:pt idx="2">
                  <c:v>45413</c:v>
                </c:pt>
                <c:pt idx="3">
                  <c:v>45450</c:v>
                </c:pt>
                <c:pt idx="4">
                  <c:v>45470</c:v>
                </c:pt>
                <c:pt idx="5">
                  <c:v>45489</c:v>
                </c:pt>
                <c:pt idx="6">
                  <c:v>45574</c:v>
                </c:pt>
                <c:pt idx="7">
                  <c:v>45588</c:v>
                </c:pt>
                <c:pt idx="8">
                  <c:v>45630</c:v>
                </c:pt>
                <c:pt idx="9">
                  <c:v>45637</c:v>
                </c:pt>
              </c:numCache>
            </c:numRef>
          </c:cat>
          <c:val>
            <c:numRef>
              <c:f>'Maximum Trade'!$U$2:$U$11</c:f>
              <c:numCache>
                <c:formatCode>General</c:formatCode>
                <c:ptCount val="10"/>
                <c:pt idx="0">
                  <c:v>1.53</c:v>
                </c:pt>
                <c:pt idx="1">
                  <c:v>1.92</c:v>
                </c:pt>
                <c:pt idx="2">
                  <c:v>1.68</c:v>
                </c:pt>
                <c:pt idx="3">
                  <c:v>1.99</c:v>
                </c:pt>
                <c:pt idx="4">
                  <c:v>1.73</c:v>
                </c:pt>
                <c:pt idx="5">
                  <c:v>2.15</c:v>
                </c:pt>
                <c:pt idx="6">
                  <c:v>2</c:v>
                </c:pt>
                <c:pt idx="7">
                  <c:v>2.56</c:v>
                </c:pt>
                <c:pt idx="8">
                  <c:v>2.41</c:v>
                </c:pt>
                <c:pt idx="9">
                  <c:v>2.77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1A-8642-B6B4-5A5EEEF8D719}"/>
            </c:ext>
          </c:extLst>
        </c:ser>
        <c:ser>
          <c:idx val="1"/>
          <c:order val="1"/>
          <c:tx>
            <c:strRef>
              <c:f>'Maximum Trade'!$V$1</c:f>
              <c:strCache>
                <c:ptCount val="1"/>
                <c:pt idx="0">
                  <c:v> Invested value($)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1A-8642-B6B4-5A5EEEF8D719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1A-8642-B6B4-5A5EEEF8D719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21A-8642-B6B4-5A5EEEF8D719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21A-8642-B6B4-5A5EEEF8D719}"/>
                </c:ext>
              </c:extLst>
            </c:dLbl>
            <c:dLbl>
              <c:idx val="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1A-8642-B6B4-5A5EEEF8D719}"/>
                </c:ext>
              </c:extLst>
            </c:dLbl>
            <c:dLbl>
              <c:idx val="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1A-8642-B6B4-5A5EEEF8D719}"/>
                </c:ext>
              </c:extLst>
            </c:dLbl>
            <c:dLbl>
              <c:idx val="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1A-8642-B6B4-5A5EEEF8D719}"/>
                </c:ext>
              </c:extLst>
            </c:dLbl>
            <c:dLbl>
              <c:idx val="7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1A-8642-B6B4-5A5EEEF8D719}"/>
                </c:ext>
              </c:extLst>
            </c:dLbl>
            <c:dLbl>
              <c:idx val="8"/>
              <c:layout>
                <c:manualLayout>
                  <c:x val="-3.7101818608449369E-2"/>
                  <c:y val="5.36927758554438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21A-8642-B6B4-5A5EEEF8D719}"/>
                </c:ext>
              </c:extLst>
            </c:dLbl>
            <c:dLbl>
              <c:idx val="9"/>
              <c:layout>
                <c:manualLayout>
                  <c:x val="4.6006255074476969E-2"/>
                  <c:y val="3.28122519116601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21A-8642-B6B4-5A5EEEF8D719}"/>
                </c:ext>
              </c:extLst>
            </c:dLbl>
            <c:numFmt formatCode="&quot;$&quot;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'Maximum Trade'!$T$2:$T$11</c:f>
              <c:numCache>
                <c:formatCode>m/d/yy</c:formatCode>
                <c:ptCount val="10"/>
                <c:pt idx="0">
                  <c:v>45351</c:v>
                </c:pt>
                <c:pt idx="1">
                  <c:v>45358</c:v>
                </c:pt>
                <c:pt idx="2">
                  <c:v>45413</c:v>
                </c:pt>
                <c:pt idx="3">
                  <c:v>45450</c:v>
                </c:pt>
                <c:pt idx="4">
                  <c:v>45470</c:v>
                </c:pt>
                <c:pt idx="5">
                  <c:v>45489</c:v>
                </c:pt>
                <c:pt idx="6">
                  <c:v>45574</c:v>
                </c:pt>
                <c:pt idx="7">
                  <c:v>45588</c:v>
                </c:pt>
                <c:pt idx="8">
                  <c:v>45630</c:v>
                </c:pt>
                <c:pt idx="9">
                  <c:v>45637</c:v>
                </c:pt>
              </c:numCache>
            </c:numRef>
          </c:cat>
          <c:val>
            <c:numRef>
              <c:f>'Maximum Trade'!$V$2:$V$11</c:f>
              <c:numCache>
                <c:formatCode>0.00</c:formatCode>
                <c:ptCount val="10"/>
                <c:pt idx="0">
                  <c:v>859.86</c:v>
                </c:pt>
                <c:pt idx="1">
                  <c:v>1077.354</c:v>
                </c:pt>
                <c:pt idx="2">
                  <c:v>944.16</c:v>
                </c:pt>
                <c:pt idx="3">
                  <c:v>1118.3799999999999</c:v>
                </c:pt>
                <c:pt idx="4">
                  <c:v>972.26</c:v>
                </c:pt>
                <c:pt idx="5">
                  <c:v>1208.3</c:v>
                </c:pt>
                <c:pt idx="6">
                  <c:v>1121.19</c:v>
                </c:pt>
                <c:pt idx="7">
                  <c:v>1438.72</c:v>
                </c:pt>
                <c:pt idx="8">
                  <c:v>1354.42</c:v>
                </c:pt>
                <c:pt idx="9">
                  <c:v>1556.74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1A-8642-B6B4-5A5EEEF8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2"/>
        <c:overlap val="-33"/>
        <c:axId val="797875823"/>
        <c:axId val="936226831"/>
      </c:barChart>
      <c:lineChart>
        <c:grouping val="standard"/>
        <c:varyColors val="0"/>
        <c:ser>
          <c:idx val="2"/>
          <c:order val="2"/>
          <c:tx>
            <c:strRef>
              <c:f>'Maximum Trade'!$W$1</c:f>
              <c:strCache>
                <c:ptCount val="1"/>
                <c:pt idx="0">
                  <c:v> Profit% 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ot"/>
              <a:round/>
            </a:ln>
            <a:effectLst/>
          </c:spPr>
          <c:marker>
            <c:symbol val="none"/>
          </c:marker>
          <c:dLbls>
            <c:dLbl>
              <c:idx val="0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821A-8642-B6B4-5A5EEEF8D719}"/>
                </c:ext>
              </c:extLst>
            </c:dLbl>
            <c:dLbl>
              <c:idx val="1"/>
              <c:layout>
                <c:manualLayout>
                  <c:x val="-5.9362909773518812E-3"/>
                  <c:y val="-3.8778115895598347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1A-8642-B6B4-5A5EEEF8D719}"/>
                </c:ext>
              </c:extLst>
            </c:dLbl>
            <c:dLbl>
              <c:idx val="2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821A-8642-B6B4-5A5EEEF8D719}"/>
                </c:ext>
              </c:extLst>
            </c:dLbl>
            <c:dLbl>
              <c:idx val="3"/>
              <c:layout>
                <c:manualLayout>
                  <c:x val="4.4522182330139111E-3"/>
                  <c:y val="-4.4743979879536523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1A-8642-B6B4-5A5EEEF8D719}"/>
                </c:ext>
              </c:extLst>
            </c:dLbl>
            <c:dLbl>
              <c:idx val="4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821A-8642-B6B4-5A5EEEF8D719}"/>
                </c:ext>
              </c:extLst>
            </c:dLbl>
            <c:dLbl>
              <c:idx val="5"/>
              <c:layout>
                <c:manualLayout>
                  <c:x val="0"/>
                  <c:y val="-4.7726911871505649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1A-8642-B6B4-5A5EEEF8D719}"/>
                </c:ext>
              </c:extLst>
            </c:dLbl>
            <c:dLbl>
              <c:idx val="6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821A-8642-B6B4-5A5EEEF8D719}"/>
                </c:ext>
              </c:extLst>
            </c:dLbl>
            <c:dLbl>
              <c:idx val="7"/>
              <c:layout>
                <c:manualLayout>
                  <c:x val="0"/>
                  <c:y val="-4.4743979879536523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21A-8642-B6B4-5A5EEEF8D719}"/>
                </c:ext>
              </c:extLst>
            </c:dLbl>
            <c:dLbl>
              <c:idx val="8"/>
              <c:spPr>
                <a:solidFill>
                  <a:srgbClr val="FF00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821A-8642-B6B4-5A5EEEF8D719}"/>
                </c:ext>
              </c:extLst>
            </c:dLbl>
            <c:dLbl>
              <c:idx val="9"/>
              <c:layout>
                <c:manualLayout>
                  <c:x val="-1.0883074402940924E-16"/>
                  <c:y val="-3.2812251911660144E-2"/>
                </c:manualLayout>
              </c:layout>
              <c:spPr>
                <a:solidFill>
                  <a:srgbClr val="00B05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1A-8642-B6B4-5A5EEEF8D7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'Maximum Trade'!$T$2:$T$11</c:f>
              <c:numCache>
                <c:formatCode>m/d/yy</c:formatCode>
                <c:ptCount val="10"/>
                <c:pt idx="0">
                  <c:v>45351</c:v>
                </c:pt>
                <c:pt idx="1">
                  <c:v>45358</c:v>
                </c:pt>
                <c:pt idx="2">
                  <c:v>45413</c:v>
                </c:pt>
                <c:pt idx="3">
                  <c:v>45450</c:v>
                </c:pt>
                <c:pt idx="4">
                  <c:v>45470</c:v>
                </c:pt>
                <c:pt idx="5">
                  <c:v>45489</c:v>
                </c:pt>
                <c:pt idx="6">
                  <c:v>45574</c:v>
                </c:pt>
                <c:pt idx="7">
                  <c:v>45588</c:v>
                </c:pt>
                <c:pt idx="8">
                  <c:v>45630</c:v>
                </c:pt>
                <c:pt idx="9">
                  <c:v>45637</c:v>
                </c:pt>
              </c:numCache>
            </c:numRef>
          </c:cat>
          <c:val>
            <c:numRef>
              <c:f>'Maximum Trade'!$W$2:$W$11</c:f>
              <c:numCache>
                <c:formatCode>0%</c:formatCode>
                <c:ptCount val="10"/>
                <c:pt idx="0">
                  <c:v>1</c:v>
                </c:pt>
                <c:pt idx="1">
                  <c:v>1.25</c:v>
                </c:pt>
                <c:pt idx="2">
                  <c:v>1</c:v>
                </c:pt>
                <c:pt idx="3">
                  <c:v>1.18</c:v>
                </c:pt>
                <c:pt idx="4">
                  <c:v>1</c:v>
                </c:pt>
                <c:pt idx="5">
                  <c:v>1.24</c:v>
                </c:pt>
                <c:pt idx="6">
                  <c:v>1</c:v>
                </c:pt>
                <c:pt idx="7">
                  <c:v>1.28</c:v>
                </c:pt>
                <c:pt idx="8">
                  <c:v>1</c:v>
                </c:pt>
                <c:pt idx="9">
                  <c:v>1.1499999999999999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21A-8642-B6B4-5A5EEEF8D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079007"/>
        <c:axId val="1364280831"/>
      </c:lineChart>
      <c:catAx>
        <c:axId val="797875823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6226831"/>
        <c:crosses val="autoZero"/>
        <c:auto val="0"/>
        <c:lblAlgn val="ctr"/>
        <c:lblOffset val="100"/>
        <c:noMultiLvlLbl val="0"/>
      </c:catAx>
      <c:valAx>
        <c:axId val="936226831"/>
        <c:scaling>
          <c:orientation val="minMax"/>
          <c:max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875823"/>
        <c:crosses val="autoZero"/>
        <c:crossBetween val="between"/>
      </c:valAx>
      <c:valAx>
        <c:axId val="1364280831"/>
        <c:scaling>
          <c:orientation val="minMax"/>
          <c:max val="1.4"/>
          <c:min val="0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8079007"/>
        <c:crosses val="max"/>
        <c:crossBetween val="between"/>
        <c:majorUnit val="0.2"/>
      </c:valAx>
      <c:dateAx>
        <c:axId val="898079007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1364280831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794791</xdr:colOff>
      <xdr:row>10</xdr:row>
      <xdr:rowOff>9477</xdr:rowOff>
    </xdr:from>
    <xdr:to>
      <xdr:col>20</xdr:col>
      <xdr:colOff>514968</xdr:colOff>
      <xdr:row>33</xdr:row>
      <xdr:rowOff>47064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9AF664-CBD8-F985-7AAD-EC9D4C78D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454117</xdr:colOff>
      <xdr:row>13</xdr:row>
      <xdr:rowOff>135466</xdr:rowOff>
    </xdr:from>
    <xdr:to>
      <xdr:col>18</xdr:col>
      <xdr:colOff>176552</xdr:colOff>
      <xdr:row>15</xdr:row>
      <xdr:rowOff>143731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E0824F87-5CAE-A84B-B43E-0EB96C381E65}"/>
            </a:ext>
          </a:extLst>
        </xdr:cNvPr>
        <xdr:cNvSpPr/>
      </xdr:nvSpPr>
      <xdr:spPr>
        <a:xfrm rot="20916892">
          <a:off x="16392617" y="2611966"/>
          <a:ext cx="3024435" cy="389265"/>
        </a:xfrm>
        <a:prstGeom prst="rightArrow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900"/>
            <a:t>            GMD</a:t>
          </a:r>
          <a:r>
            <a:rPr lang="en-GB" sz="900" baseline="0"/>
            <a:t> share price increased by 49% in FY24 </a:t>
          </a:r>
          <a:endParaRPr lang="en-GB" sz="900"/>
        </a:p>
      </xdr:txBody>
    </xdr:sp>
    <xdr:clientData/>
  </xdr:twoCellAnchor>
  <xdr:twoCellAnchor>
    <xdr:from>
      <xdr:col>17</xdr:col>
      <xdr:colOff>228756</xdr:colOff>
      <xdr:row>16</xdr:row>
      <xdr:rowOff>110974</xdr:rowOff>
    </xdr:from>
    <xdr:to>
      <xdr:col>17</xdr:col>
      <xdr:colOff>274475</xdr:colOff>
      <xdr:row>16</xdr:row>
      <xdr:rowOff>155685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AC40F37E-C24D-1408-6A1D-CB2C88BAABFA}"/>
            </a:ext>
          </a:extLst>
        </xdr:cNvPr>
        <xdr:cNvSpPr/>
      </xdr:nvSpPr>
      <xdr:spPr>
        <a:xfrm flipV="1">
          <a:off x="18643756" y="3158974"/>
          <a:ext cx="45719" cy="44711"/>
        </a:xfrm>
        <a:prstGeom prst="ellipse">
          <a:avLst/>
        </a:prstGeom>
        <a:effectLst>
          <a:glow rad="101600">
            <a:schemeClr val="accent2">
              <a:satMod val="175000"/>
              <a:alpha val="40000"/>
            </a:schemeClr>
          </a:glow>
          <a:reflection blurRad="6350" stA="52000" endA="300" endPos="35000" dir="5400000" sy="-100000" algn="bl" rotWithShape="0"/>
        </a:effectLst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0.76433</cdr:x>
      <cdr:y>0.26493</cdr:y>
    </cdr:from>
    <cdr:to>
      <cdr:x>0.77073</cdr:x>
      <cdr:y>0.27606</cdr:y>
    </cdr:to>
    <cdr:sp macro="" textlink="">
      <cdr:nvSpPr>
        <cdr:cNvPr id="2" name="Oval 1">
          <a:extLst xmlns:a="http://schemas.openxmlformats.org/drawingml/2006/main">
            <a:ext uri="{FF2B5EF4-FFF2-40B4-BE49-F238E27FC236}">
              <a16:creationId xmlns:a16="http://schemas.microsoft.com/office/drawing/2014/main" id="{7B5033DD-539D-5B06-353E-1BAAA1C65708}"/>
            </a:ext>
          </a:extLst>
        </cdr:cNvPr>
        <cdr:cNvSpPr/>
      </cdr:nvSpPr>
      <cdr:spPr>
        <a:xfrm xmlns:a="http://schemas.openxmlformats.org/drawingml/2006/main" flipH="1" flipV="1">
          <a:off x="5464739" y="1170740"/>
          <a:ext cx="45758" cy="49185"/>
        </a:xfrm>
        <a:prstGeom xmlns:a="http://schemas.openxmlformats.org/drawingml/2006/main" prst="ellipse">
          <a:avLst/>
        </a:prstGeom>
        <a:effectLst xmlns:a="http://schemas.openxmlformats.org/drawingml/2006/main">
          <a:glow rad="101600">
            <a:schemeClr val="accent2">
              <a:satMod val="175000"/>
              <a:alpha val="40000"/>
            </a:schemeClr>
          </a:glow>
        </a:effectLst>
      </cdr:spPr>
      <cdr:style>
        <a:lnRef xmlns:a="http://schemas.openxmlformats.org/drawingml/2006/main" idx="1">
          <a:schemeClr val="accent2"/>
        </a:lnRef>
        <a:fillRef xmlns:a="http://schemas.openxmlformats.org/drawingml/2006/main" idx="3">
          <a:schemeClr val="accent2"/>
        </a:fillRef>
        <a:effectRef xmlns:a="http://schemas.openxmlformats.org/drawingml/2006/main" idx="2">
          <a:schemeClr val="accent2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328706</xdr:colOff>
      <xdr:row>115</xdr:row>
      <xdr:rowOff>58484</xdr:rowOff>
    </xdr:from>
    <xdr:to>
      <xdr:col>18</xdr:col>
      <xdr:colOff>791883</xdr:colOff>
      <xdr:row>128</xdr:row>
      <xdr:rowOff>165634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3995A0B-A6C2-9522-0DA4-D2BFC543E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272860</xdr:colOff>
      <xdr:row>7</xdr:row>
      <xdr:rowOff>12574</xdr:rowOff>
    </xdr:from>
    <xdr:to>
      <xdr:col>18</xdr:col>
      <xdr:colOff>641287</xdr:colOff>
      <xdr:row>33</xdr:row>
      <xdr:rowOff>88020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306CD66-CC71-BAC2-A6CF-7E0300286E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434087</xdr:colOff>
      <xdr:row>4</xdr:row>
      <xdr:rowOff>50477</xdr:rowOff>
    </xdr:from>
    <xdr:to>
      <xdr:col>20</xdr:col>
      <xdr:colOff>28540</xdr:colOff>
      <xdr:row>34</xdr:row>
      <xdr:rowOff>156966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9D2D268-8108-725D-80FE-5B0FD746EE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496957</xdr:colOff>
      <xdr:row>11</xdr:row>
      <xdr:rowOff>60003</xdr:rowOff>
    </xdr:from>
    <xdr:to>
      <xdr:col>17</xdr:col>
      <xdr:colOff>377319</xdr:colOff>
      <xdr:row>32</xdr:row>
      <xdr:rowOff>64420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54404FF-7A8E-4596-5B7E-6B1F4FE749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0.08532</cdr:x>
      <cdr:y>0.347</cdr:y>
    </cdr:from>
    <cdr:to>
      <cdr:x>0.20452</cdr:x>
      <cdr:y>0.41619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DAEF4B3A-DF5D-E176-6A40-917B64578C5D}"/>
            </a:ext>
          </a:extLst>
        </cdr:cNvPr>
        <cdr:cNvCxnSpPr/>
      </cdr:nvCxnSpPr>
      <cdr:spPr>
        <a:xfrm xmlns:a="http://schemas.openxmlformats.org/drawingml/2006/main">
          <a:off x="625797" y="1476882"/>
          <a:ext cx="874275" cy="294492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0.22208</cdr:x>
      <cdr:y>0.34267</cdr:y>
    </cdr:from>
    <cdr:to>
      <cdr:x>0.48683</cdr:x>
      <cdr:y>0.347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F22A196A-AC5C-3753-2AE9-2A03B6199332}"/>
            </a:ext>
          </a:extLst>
        </cdr:cNvPr>
        <cdr:cNvCxnSpPr/>
      </cdr:nvCxnSpPr>
      <cdr:spPr>
        <a:xfrm xmlns:a="http://schemas.openxmlformats.org/drawingml/2006/main">
          <a:off x="1628913" y="1458476"/>
          <a:ext cx="1941812" cy="1840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0.52321</cdr:x>
      <cdr:y>0.16321</cdr:y>
    </cdr:from>
    <cdr:to>
      <cdr:x>0.87077</cdr:x>
      <cdr:y>0.31456</cdr:y>
    </cdr:to>
    <cdr:cxnSp macro="">
      <cdr:nvCxnSpPr>
        <cdr:cNvPr id="7" name="Straight Arrow Connector 6">
          <a:extLst xmlns:a="http://schemas.openxmlformats.org/drawingml/2006/main">
            <a:ext uri="{FF2B5EF4-FFF2-40B4-BE49-F238E27FC236}">
              <a16:creationId xmlns:a16="http://schemas.microsoft.com/office/drawing/2014/main" id="{7952193D-83C8-9307-A048-2DDC63259897}"/>
            </a:ext>
          </a:extLst>
        </cdr:cNvPr>
        <cdr:cNvCxnSpPr/>
      </cdr:nvCxnSpPr>
      <cdr:spPr>
        <a:xfrm xmlns:a="http://schemas.openxmlformats.org/drawingml/2006/main" flipV="1">
          <a:off x="3837609" y="694635"/>
          <a:ext cx="2549203" cy="64420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692150</xdr:colOff>
      <xdr:row>9</xdr:row>
      <xdr:rowOff>165101</xdr:rowOff>
    </xdr:from>
    <xdr:to>
      <xdr:col>19</xdr:col>
      <xdr:colOff>812800</xdr:colOff>
      <xdr:row>30</xdr:row>
      <xdr:rowOff>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5EF50C-88BC-DF20-0ABE-7722495B8F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107949</xdr:colOff>
      <xdr:row>11</xdr:row>
      <xdr:rowOff>50800</xdr:rowOff>
    </xdr:from>
    <xdr:to>
      <xdr:col>18</xdr:col>
      <xdr:colOff>52916</xdr:colOff>
      <xdr:row>31</xdr:row>
      <xdr:rowOff>35278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0751CE-B32F-F7FF-F0B6-3E56BBF5E1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0.10298</cdr:x>
      <cdr:y>0.66295</cdr:y>
    </cdr:from>
    <cdr:to>
      <cdr:x>0.18721</cdr:x>
      <cdr:y>0.69014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830DC60D-5DA9-FF99-5702-9E8FDBDBC6FA}"/>
            </a:ext>
          </a:extLst>
        </cdr:cNvPr>
        <cdr:cNvCxnSpPr/>
      </cdr:nvCxnSpPr>
      <cdr:spPr>
        <a:xfrm xmlns:a="http://schemas.openxmlformats.org/drawingml/2006/main">
          <a:off x="848784" y="2683934"/>
          <a:ext cx="694267" cy="1100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0.20981</cdr:x>
      <cdr:y>0.47891</cdr:y>
    </cdr:from>
    <cdr:to>
      <cdr:x>0.23754</cdr:x>
      <cdr:y>0.60857</cdr:y>
    </cdr:to>
    <cdr:cxnSp macro="">
      <cdr:nvCxnSpPr>
        <cdr:cNvPr id="5" name="Straight Arrow Connector 4">
          <a:extLst xmlns:a="http://schemas.openxmlformats.org/drawingml/2006/main">
            <a:ext uri="{FF2B5EF4-FFF2-40B4-BE49-F238E27FC236}">
              <a16:creationId xmlns:a16="http://schemas.microsoft.com/office/drawing/2014/main" id="{79C1D993-9670-DFE4-EAAE-94B285982A9A}"/>
            </a:ext>
          </a:extLst>
        </cdr:cNvPr>
        <cdr:cNvCxnSpPr/>
      </cdr:nvCxnSpPr>
      <cdr:spPr>
        <a:xfrm xmlns:a="http://schemas.openxmlformats.org/drawingml/2006/main" flipV="1">
          <a:off x="1729317" y="1938867"/>
          <a:ext cx="228600" cy="52493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0.2848</cdr:x>
      <cdr:y>0.44127</cdr:y>
    </cdr:from>
    <cdr:to>
      <cdr:x>0.35568</cdr:x>
      <cdr:y>0.46427</cdr:y>
    </cdr:to>
    <cdr:cxnSp macro="">
      <cdr:nvCxnSpPr>
        <cdr:cNvPr id="8" name="Straight Arrow Connector 7">
          <a:extLst xmlns:a="http://schemas.openxmlformats.org/drawingml/2006/main">
            <a:ext uri="{FF2B5EF4-FFF2-40B4-BE49-F238E27FC236}">
              <a16:creationId xmlns:a16="http://schemas.microsoft.com/office/drawing/2014/main" id="{218F9E7C-7671-1D67-DE52-B10D127A90A9}"/>
            </a:ext>
          </a:extLst>
        </cdr:cNvPr>
        <cdr:cNvCxnSpPr/>
      </cdr:nvCxnSpPr>
      <cdr:spPr>
        <a:xfrm xmlns:a="http://schemas.openxmlformats.org/drawingml/2006/main" flipV="1">
          <a:off x="2347384" y="1786467"/>
          <a:ext cx="584200" cy="9313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0.31664</cdr:x>
      <cdr:y>0.5312</cdr:y>
    </cdr:from>
    <cdr:to>
      <cdr:x>0.34643</cdr:x>
      <cdr:y>0.58766</cdr:y>
    </cdr:to>
    <cdr:cxnSp macro="">
      <cdr:nvCxnSpPr>
        <cdr:cNvPr id="10" name="Straight Arrow Connector 9">
          <a:extLst xmlns:a="http://schemas.openxmlformats.org/drawingml/2006/main">
            <a:ext uri="{FF2B5EF4-FFF2-40B4-BE49-F238E27FC236}">
              <a16:creationId xmlns:a16="http://schemas.microsoft.com/office/drawing/2014/main" id="{D2E87938-257E-CCDB-1EEA-B08E48ACC8F9}"/>
            </a:ext>
          </a:extLst>
        </cdr:cNvPr>
        <cdr:cNvCxnSpPr/>
      </cdr:nvCxnSpPr>
      <cdr:spPr>
        <a:xfrm xmlns:a="http://schemas.openxmlformats.org/drawingml/2006/main">
          <a:off x="2609851" y="2150532"/>
          <a:ext cx="245534" cy="228601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0.40395</cdr:x>
      <cdr:y>0.44127</cdr:y>
    </cdr:from>
    <cdr:to>
      <cdr:x>0.46251</cdr:x>
      <cdr:y>0.49355</cdr:y>
    </cdr:to>
    <cdr:cxnSp macro="">
      <cdr:nvCxnSpPr>
        <cdr:cNvPr id="13" name="Straight Arrow Connector 12">
          <a:extLst xmlns:a="http://schemas.openxmlformats.org/drawingml/2006/main">
            <a:ext uri="{FF2B5EF4-FFF2-40B4-BE49-F238E27FC236}">
              <a16:creationId xmlns:a16="http://schemas.microsoft.com/office/drawing/2014/main" id="{5F394654-E39D-3EB4-50CA-A3911638939A}"/>
            </a:ext>
          </a:extLst>
        </cdr:cNvPr>
        <cdr:cNvCxnSpPr/>
      </cdr:nvCxnSpPr>
      <cdr:spPr>
        <a:xfrm xmlns:a="http://schemas.openxmlformats.org/drawingml/2006/main" flipV="1">
          <a:off x="3329517" y="1786467"/>
          <a:ext cx="482600" cy="21166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0.45121</cdr:x>
      <cdr:y>0.56466</cdr:y>
    </cdr:from>
    <cdr:to>
      <cdr:x>0.49846</cdr:x>
      <cdr:y>0.60648</cdr:y>
    </cdr:to>
    <cdr:cxnSp macro="">
      <cdr:nvCxnSpPr>
        <cdr:cNvPr id="17" name="Straight Arrow Connector 16">
          <a:extLst xmlns:a="http://schemas.openxmlformats.org/drawingml/2006/main">
            <a:ext uri="{FF2B5EF4-FFF2-40B4-BE49-F238E27FC236}">
              <a16:creationId xmlns:a16="http://schemas.microsoft.com/office/drawing/2014/main" id="{C301ABDD-710D-EDB1-3573-73B4D70F3A11}"/>
            </a:ext>
          </a:extLst>
        </cdr:cNvPr>
        <cdr:cNvCxnSpPr/>
      </cdr:nvCxnSpPr>
      <cdr:spPr>
        <a:xfrm xmlns:a="http://schemas.openxmlformats.org/drawingml/2006/main">
          <a:off x="3718984" y="2285999"/>
          <a:ext cx="389467" cy="1693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0.52414</cdr:x>
      <cdr:y>0.36389</cdr:y>
    </cdr:from>
    <cdr:to>
      <cdr:x>0.55804</cdr:x>
      <cdr:y>0.49983</cdr:y>
    </cdr:to>
    <cdr:cxnSp macro="">
      <cdr:nvCxnSpPr>
        <cdr:cNvPr id="19" name="Straight Arrow Connector 18">
          <a:extLst xmlns:a="http://schemas.openxmlformats.org/drawingml/2006/main">
            <a:ext uri="{FF2B5EF4-FFF2-40B4-BE49-F238E27FC236}">
              <a16:creationId xmlns:a16="http://schemas.microsoft.com/office/drawing/2014/main" id="{F12A9609-4C8B-D2E8-E5B9-63F96935256D}"/>
            </a:ext>
          </a:extLst>
        </cdr:cNvPr>
        <cdr:cNvCxnSpPr/>
      </cdr:nvCxnSpPr>
      <cdr:spPr>
        <a:xfrm xmlns:a="http://schemas.openxmlformats.org/drawingml/2006/main" flipV="1">
          <a:off x="4320117" y="1473200"/>
          <a:ext cx="279400" cy="550333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0.60015</cdr:x>
      <cdr:y>0.30533</cdr:y>
    </cdr:from>
    <cdr:to>
      <cdr:x>0.68747</cdr:x>
      <cdr:y>0.37435</cdr:y>
    </cdr:to>
    <cdr:cxnSp macro="">
      <cdr:nvCxnSpPr>
        <cdr:cNvPr id="21" name="Straight Arrow Connector 20">
          <a:extLst xmlns:a="http://schemas.openxmlformats.org/drawingml/2006/main">
            <a:ext uri="{FF2B5EF4-FFF2-40B4-BE49-F238E27FC236}">
              <a16:creationId xmlns:a16="http://schemas.microsoft.com/office/drawing/2014/main" id="{9B8043C1-7FDF-788C-3ACA-CBA22783B719}"/>
            </a:ext>
          </a:extLst>
        </cdr:cNvPr>
        <cdr:cNvCxnSpPr/>
      </cdr:nvCxnSpPr>
      <cdr:spPr>
        <a:xfrm xmlns:a="http://schemas.openxmlformats.org/drawingml/2006/main" flipV="1">
          <a:off x="4946651" y="1236133"/>
          <a:ext cx="719666" cy="2794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0.68541</cdr:x>
      <cdr:y>0.45591</cdr:y>
    </cdr:from>
    <cdr:to>
      <cdr:x>0.77889</cdr:x>
      <cdr:y>0.49146</cdr:y>
    </cdr:to>
    <cdr:cxnSp macro="">
      <cdr:nvCxnSpPr>
        <cdr:cNvPr id="23" name="Straight Arrow Connector 22">
          <a:extLst xmlns:a="http://schemas.openxmlformats.org/drawingml/2006/main">
            <a:ext uri="{FF2B5EF4-FFF2-40B4-BE49-F238E27FC236}">
              <a16:creationId xmlns:a16="http://schemas.microsoft.com/office/drawing/2014/main" id="{EAD61A1B-7D25-30DA-E672-5853213588B6}"/>
            </a:ext>
          </a:extLst>
        </cdr:cNvPr>
        <cdr:cNvCxnSpPr/>
      </cdr:nvCxnSpPr>
      <cdr:spPr>
        <a:xfrm xmlns:a="http://schemas.openxmlformats.org/drawingml/2006/main">
          <a:off x="5649384" y="1845733"/>
          <a:ext cx="770467" cy="143934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0.77478</cdr:x>
      <cdr:y>0.22795</cdr:y>
    </cdr:from>
    <cdr:to>
      <cdr:x>0.80354</cdr:x>
      <cdr:y>0.41617</cdr:y>
    </cdr:to>
    <cdr:cxnSp macro="">
      <cdr:nvCxnSpPr>
        <cdr:cNvPr id="25" name="Straight Arrow Connector 24">
          <a:extLst xmlns:a="http://schemas.openxmlformats.org/drawingml/2006/main">
            <a:ext uri="{FF2B5EF4-FFF2-40B4-BE49-F238E27FC236}">
              <a16:creationId xmlns:a16="http://schemas.microsoft.com/office/drawing/2014/main" id="{C6E06010-4016-276F-77FE-5114C1947746}"/>
            </a:ext>
          </a:extLst>
        </cdr:cNvPr>
        <cdr:cNvCxnSpPr/>
      </cdr:nvCxnSpPr>
      <cdr:spPr>
        <a:xfrm xmlns:a="http://schemas.openxmlformats.org/drawingml/2006/main" flipV="1">
          <a:off x="6385984" y="922867"/>
          <a:ext cx="237067" cy="762000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0.81382</cdr:x>
      <cdr:y>0.34089</cdr:y>
    </cdr:from>
    <cdr:to>
      <cdr:x>0.8621</cdr:x>
      <cdr:y>0.43709</cdr:y>
    </cdr:to>
    <cdr:cxnSp macro="">
      <cdr:nvCxnSpPr>
        <cdr:cNvPr id="27" name="Straight Arrow Connector 26">
          <a:extLst xmlns:a="http://schemas.openxmlformats.org/drawingml/2006/main">
            <a:ext uri="{FF2B5EF4-FFF2-40B4-BE49-F238E27FC236}">
              <a16:creationId xmlns:a16="http://schemas.microsoft.com/office/drawing/2014/main" id="{D3ACE30E-D651-D0A2-AD16-AB80A34DF9B4}"/>
            </a:ext>
          </a:extLst>
        </cdr:cNvPr>
        <cdr:cNvCxnSpPr/>
      </cdr:nvCxnSpPr>
      <cdr:spPr>
        <a:xfrm xmlns:a="http://schemas.openxmlformats.org/drawingml/2006/main">
          <a:off x="6707717" y="1380067"/>
          <a:ext cx="397934" cy="389466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0.85799</cdr:x>
      <cdr:y>0.10875</cdr:y>
    </cdr:from>
    <cdr:to>
      <cdr:x>0.93503</cdr:x>
      <cdr:y>0.30533</cdr:y>
    </cdr:to>
    <cdr:cxnSp macro="">
      <cdr:nvCxnSpPr>
        <cdr:cNvPr id="30" name="Straight Arrow Connector 29">
          <a:extLst xmlns:a="http://schemas.openxmlformats.org/drawingml/2006/main">
            <a:ext uri="{FF2B5EF4-FFF2-40B4-BE49-F238E27FC236}">
              <a16:creationId xmlns:a16="http://schemas.microsoft.com/office/drawing/2014/main" id="{A1842A18-0E20-69AE-411D-93774CC51681}"/>
            </a:ext>
          </a:extLst>
        </cdr:cNvPr>
        <cdr:cNvCxnSpPr/>
      </cdr:nvCxnSpPr>
      <cdr:spPr>
        <a:xfrm xmlns:a="http://schemas.openxmlformats.org/drawingml/2006/main" flipV="1">
          <a:off x="7071784" y="440267"/>
          <a:ext cx="635000" cy="795866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1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0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0.93811</cdr:x>
      <cdr:y>0.23423</cdr:y>
    </cdr:from>
    <cdr:to>
      <cdr:x>0.97612</cdr:x>
      <cdr:y>0.2886</cdr:y>
    </cdr:to>
    <cdr:cxnSp macro="">
      <cdr:nvCxnSpPr>
        <cdr:cNvPr id="32" name="Straight Arrow Connector 31">
          <a:extLst xmlns:a="http://schemas.openxmlformats.org/drawingml/2006/main">
            <a:ext uri="{FF2B5EF4-FFF2-40B4-BE49-F238E27FC236}">
              <a16:creationId xmlns:a16="http://schemas.microsoft.com/office/drawing/2014/main" id="{47EEE411-BE44-D163-2582-52B7777AFB3E}"/>
            </a:ext>
          </a:extLst>
        </cdr:cNvPr>
        <cdr:cNvCxnSpPr/>
      </cdr:nvCxnSpPr>
      <cdr:spPr>
        <a:xfrm xmlns:a="http://schemas.openxmlformats.org/drawingml/2006/main">
          <a:off x="7732184" y="948267"/>
          <a:ext cx="313267" cy="220133"/>
        </a:xfrm>
        <a:prstGeom xmlns:a="http://schemas.openxmlformats.org/drawingml/2006/main" prst="straightConnector1">
          <a:avLst/>
        </a:prstGeom>
        <a:ln xmlns:a="http://schemas.openxmlformats.org/drawingml/2006/main">
          <a:solidFill>
            <a:srgbClr val="FF0000"/>
          </a:solidFill>
          <a:tailEnd type="triangle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216880</xdr:colOff>
      <xdr:row>12</xdr:row>
      <xdr:rowOff>104912</xdr:rowOff>
    </xdr:from>
    <xdr:to>
      <xdr:col>16</xdr:col>
      <xdr:colOff>684479</xdr:colOff>
      <xdr:row>26</xdr:row>
      <xdr:rowOff>40743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D2CD620-D891-4469-066C-7539658C3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154718</xdr:colOff>
      <xdr:row>14</xdr:row>
      <xdr:rowOff>143281</xdr:rowOff>
    </xdr:from>
    <xdr:to>
      <xdr:col>34</xdr:col>
      <xdr:colOff>268112</xdr:colOff>
      <xdr:row>35</xdr:row>
      <xdr:rowOff>112889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5807E1-C3CE-508B-E15C-0D2AB9A76A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A2B2-50FC-F649-8EE6-3D267C09D87D}">
  <dimension ref="A1:M255"/>
  <sheetViews>
    <sheetView zoomScaleNormal="400" workbookViewId="0">
      <selection activeCell="M9" sqref="M9"/>
    </sheetView>
  </sheetViews>
  <sheetFormatPr baseColWidth="10" defaultRowHeight="16" x14ac:dyDescent="0.2"/>
  <cols>
    <col min="1" max="1" width="13.33203125" customWidth="1"/>
    <col min="2" max="2" width="16.6640625" style="9" customWidth="1"/>
    <col min="3" max="6" width="16.6640625" style="10" customWidth="1"/>
    <col min="7" max="7" width="16.6640625" style="4" customWidth="1"/>
    <col min="8" max="8" width="25" style="4" customWidth="1"/>
    <col min="9" max="9" width="16.6640625" style="4" customWidth="1"/>
    <col min="10" max="10" width="10.83203125" style="7"/>
    <col min="11" max="11" width="14" customWidth="1"/>
  </cols>
  <sheetData>
    <row r="1" spans="1:13" ht="15" customHeight="1" x14ac:dyDescent="0.2">
      <c r="A1" s="1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6" t="s">
        <v>265</v>
      </c>
      <c r="K1" s="1" t="s">
        <v>277</v>
      </c>
      <c r="L1" s="1" t="s">
        <v>264</v>
      </c>
      <c r="M1">
        <v>7.4297699999999994E-2</v>
      </c>
    </row>
    <row r="2" spans="1:13" ht="15" customHeight="1" x14ac:dyDescent="0.2">
      <c r="A2" t="s">
        <v>9</v>
      </c>
      <c r="B2" s="9" t="s">
        <v>263</v>
      </c>
      <c r="C2" s="7">
        <v>1.7749999999999999</v>
      </c>
      <c r="D2" s="7">
        <v>1.778</v>
      </c>
      <c r="E2" s="7">
        <v>1.7350000000000001</v>
      </c>
      <c r="F2" s="7">
        <v>1.74</v>
      </c>
      <c r="G2" s="3">
        <v>1691953</v>
      </c>
      <c r="H2" s="3">
        <v>1913.76</v>
      </c>
      <c r="I2" s="3">
        <v>1099862562</v>
      </c>
      <c r="J2" s="7">
        <f>F2/0.0742977</f>
        <v>23.419298309368934</v>
      </c>
      <c r="K2" s="19">
        <f>((F2-$F$2)/$F$2)*100</f>
        <v>0</v>
      </c>
    </row>
    <row r="3" spans="1:13" ht="15" customHeight="1" x14ac:dyDescent="0.2">
      <c r="A3" t="s">
        <v>9</v>
      </c>
      <c r="B3" s="9" t="s">
        <v>262</v>
      </c>
      <c r="C3" s="7">
        <v>1.7050000000000001</v>
      </c>
      <c r="D3" s="7">
        <v>1.72</v>
      </c>
      <c r="E3" s="7">
        <v>1.6850000000000001</v>
      </c>
      <c r="F3" s="7">
        <v>1.69</v>
      </c>
      <c r="G3" s="3">
        <v>2158486</v>
      </c>
      <c r="H3" s="3">
        <v>1858.77</v>
      </c>
      <c r="I3" s="3">
        <v>1099862562</v>
      </c>
      <c r="J3" s="7">
        <f t="shared" ref="J3:J5" si="0">F3/0.0742977</f>
        <v>22.746329967145687</v>
      </c>
      <c r="K3" s="19">
        <f t="shared" ref="K3:K68" si="1">((F3-$F$2)/$F$2)*100</f>
        <v>-2.8735632183908075</v>
      </c>
      <c r="L3" s="3"/>
    </row>
    <row r="4" spans="1:13" ht="15" customHeight="1" x14ac:dyDescent="0.2">
      <c r="A4" t="s">
        <v>9</v>
      </c>
      <c r="B4" s="9" t="s">
        <v>261</v>
      </c>
      <c r="C4" s="7">
        <v>1.66</v>
      </c>
      <c r="D4" s="7">
        <v>1.677</v>
      </c>
      <c r="E4" s="7">
        <v>1.615</v>
      </c>
      <c r="F4" s="7">
        <v>1.625</v>
      </c>
      <c r="G4" s="3">
        <v>4297585</v>
      </c>
      <c r="H4" s="3">
        <v>1787.28</v>
      </c>
      <c r="I4" s="3">
        <v>1099862562</v>
      </c>
      <c r="J4" s="7">
        <f t="shared" si="0"/>
        <v>21.871471122255468</v>
      </c>
      <c r="K4" s="19">
        <f t="shared" si="1"/>
        <v>-6.6091954022988491</v>
      </c>
    </row>
    <row r="5" spans="1:13" ht="15" customHeight="1" x14ac:dyDescent="0.2">
      <c r="A5" t="s">
        <v>9</v>
      </c>
      <c r="B5" s="9" t="s">
        <v>260</v>
      </c>
      <c r="C5" s="7">
        <v>1.645</v>
      </c>
      <c r="D5" s="7">
        <v>1.655</v>
      </c>
      <c r="E5" s="7">
        <v>1.62</v>
      </c>
      <c r="F5" s="7">
        <v>1.625</v>
      </c>
      <c r="G5" s="3">
        <v>2078349</v>
      </c>
      <c r="H5" s="3">
        <v>1787.28</v>
      </c>
      <c r="I5" s="3">
        <v>1099862562</v>
      </c>
      <c r="J5" s="7">
        <f t="shared" si="0"/>
        <v>21.871471122255468</v>
      </c>
      <c r="K5" s="19">
        <f t="shared" si="1"/>
        <v>-6.6091954022988491</v>
      </c>
    </row>
    <row r="6" spans="1:13" ht="15" customHeight="1" x14ac:dyDescent="0.2">
      <c r="A6" t="s">
        <v>9</v>
      </c>
      <c r="B6" s="9" t="s">
        <v>259</v>
      </c>
      <c r="C6" s="7">
        <v>1.615</v>
      </c>
      <c r="D6" s="7">
        <v>1.63</v>
      </c>
      <c r="E6" s="7">
        <v>1.6</v>
      </c>
      <c r="F6" s="7">
        <v>1.63</v>
      </c>
      <c r="G6" s="3">
        <v>2400388</v>
      </c>
      <c r="H6" s="3">
        <v>1792.78</v>
      </c>
      <c r="I6" s="3">
        <v>1099862562</v>
      </c>
      <c r="J6" s="7">
        <f>F6/0.0742977</f>
        <v>21.938767956477793</v>
      </c>
      <c r="K6" s="19">
        <f t="shared" si="1"/>
        <v>-6.3218390804597764</v>
      </c>
    </row>
    <row r="7" spans="1:13" ht="15" customHeight="1" x14ac:dyDescent="0.2">
      <c r="A7" t="s">
        <v>9</v>
      </c>
      <c r="B7" s="9" t="s">
        <v>258</v>
      </c>
      <c r="C7" s="7">
        <v>1.64</v>
      </c>
      <c r="D7" s="7">
        <v>1.655</v>
      </c>
      <c r="E7" s="7">
        <v>1.6</v>
      </c>
      <c r="F7" s="7">
        <v>1.605</v>
      </c>
      <c r="G7" s="3">
        <v>2406963</v>
      </c>
      <c r="H7" s="3">
        <v>1765.28</v>
      </c>
      <c r="I7" s="3">
        <v>1099862562</v>
      </c>
      <c r="J7" s="7">
        <f t="shared" ref="J7:J70" si="2">F7/0.0742977</f>
        <v>21.602283785366172</v>
      </c>
      <c r="K7" s="19">
        <f t="shared" si="1"/>
        <v>-7.7586206896551726</v>
      </c>
    </row>
    <row r="8" spans="1:13" ht="15" customHeight="1" x14ac:dyDescent="0.2">
      <c r="A8" t="s">
        <v>9</v>
      </c>
      <c r="B8" s="9" t="s">
        <v>257</v>
      </c>
      <c r="C8" s="7">
        <v>1.6</v>
      </c>
      <c r="D8" s="7">
        <v>1.61</v>
      </c>
      <c r="E8" s="7">
        <v>1.575</v>
      </c>
      <c r="F8" s="7">
        <v>1.59</v>
      </c>
      <c r="G8" s="3">
        <v>1291516</v>
      </c>
      <c r="H8" s="3">
        <v>1748.78</v>
      </c>
      <c r="I8" s="3">
        <v>1099862562</v>
      </c>
      <c r="J8" s="7">
        <f t="shared" si="2"/>
        <v>21.400393282699198</v>
      </c>
      <c r="K8" s="19">
        <f t="shared" si="1"/>
        <v>-8.6206896551724093</v>
      </c>
    </row>
    <row r="9" spans="1:13" ht="15" customHeight="1" x14ac:dyDescent="0.2">
      <c r="A9" t="s">
        <v>9</v>
      </c>
      <c r="B9" s="9" t="s">
        <v>256</v>
      </c>
      <c r="C9" s="7">
        <v>1.585</v>
      </c>
      <c r="D9" s="7">
        <v>1.625</v>
      </c>
      <c r="E9" s="7">
        <v>1.56</v>
      </c>
      <c r="F9" s="7">
        <v>1.615</v>
      </c>
      <c r="G9" s="3">
        <v>2849643</v>
      </c>
      <c r="H9" s="3">
        <v>1776.28</v>
      </c>
      <c r="I9" s="3">
        <v>1099862562</v>
      </c>
      <c r="J9" s="7">
        <f t="shared" si="2"/>
        <v>21.73687745381082</v>
      </c>
      <c r="K9" s="19">
        <f t="shared" si="1"/>
        <v>-7.1839080459770113</v>
      </c>
    </row>
    <row r="10" spans="1:13" ht="15" customHeight="1" x14ac:dyDescent="0.2">
      <c r="A10" t="s">
        <v>9</v>
      </c>
      <c r="B10" s="9" t="s">
        <v>255</v>
      </c>
      <c r="C10" s="7">
        <v>1.6</v>
      </c>
      <c r="D10" s="7">
        <v>1.625</v>
      </c>
      <c r="E10" s="7">
        <v>1.58</v>
      </c>
      <c r="F10" s="7">
        <v>1.62</v>
      </c>
      <c r="G10" s="3">
        <v>3232746</v>
      </c>
      <c r="H10" s="3">
        <v>1781.78</v>
      </c>
      <c r="I10" s="3">
        <v>1099862562</v>
      </c>
      <c r="J10" s="7">
        <f t="shared" si="2"/>
        <v>21.804174288033146</v>
      </c>
      <c r="K10" s="19">
        <f t="shared" si="1"/>
        <v>-6.8965517241379244</v>
      </c>
    </row>
    <row r="11" spans="1:13" ht="15" customHeight="1" x14ac:dyDescent="0.2">
      <c r="A11" t="s">
        <v>9</v>
      </c>
      <c r="B11" s="9" t="s">
        <v>254</v>
      </c>
      <c r="C11" s="7">
        <v>1.635</v>
      </c>
      <c r="D11" s="7">
        <v>1.655</v>
      </c>
      <c r="E11" s="7">
        <v>1.617</v>
      </c>
      <c r="F11" s="7">
        <v>1.64</v>
      </c>
      <c r="G11" s="3">
        <v>1598296</v>
      </c>
      <c r="H11" s="3">
        <v>1803.77</v>
      </c>
      <c r="I11" s="3">
        <v>1099862562</v>
      </c>
      <c r="J11" s="7">
        <f t="shared" si="2"/>
        <v>22.073361624922441</v>
      </c>
      <c r="K11" s="19">
        <f t="shared" si="1"/>
        <v>-5.7471264367816151</v>
      </c>
    </row>
    <row r="12" spans="1:13" ht="15" customHeight="1" x14ac:dyDescent="0.2">
      <c r="A12" t="s">
        <v>9</v>
      </c>
      <c r="B12" s="9" t="s">
        <v>253</v>
      </c>
      <c r="C12" s="7">
        <v>1.63</v>
      </c>
      <c r="D12" s="7">
        <v>1.665</v>
      </c>
      <c r="E12" s="7">
        <v>1.615</v>
      </c>
      <c r="F12" s="7">
        <v>1.65</v>
      </c>
      <c r="G12" s="3">
        <v>2079745</v>
      </c>
      <c r="H12" s="3">
        <v>1814.77</v>
      </c>
      <c r="I12" s="3">
        <v>1099862562</v>
      </c>
      <c r="J12" s="7">
        <f t="shared" si="2"/>
        <v>22.207955293367089</v>
      </c>
      <c r="K12" s="19">
        <f t="shared" si="1"/>
        <v>-5.1724137931034528</v>
      </c>
    </row>
    <row r="13" spans="1:13" ht="15" customHeight="1" x14ac:dyDescent="0.2">
      <c r="A13" t="s">
        <v>9</v>
      </c>
      <c r="B13" s="9" t="s">
        <v>252</v>
      </c>
      <c r="C13" s="7">
        <v>1.6</v>
      </c>
      <c r="D13" s="7">
        <v>1.623</v>
      </c>
      <c r="E13" s="7">
        <v>1.575</v>
      </c>
      <c r="F13" s="7">
        <v>1.62</v>
      </c>
      <c r="G13" s="3">
        <v>2819960</v>
      </c>
      <c r="H13" s="3">
        <v>1781.78</v>
      </c>
      <c r="I13" s="3">
        <v>1099862562</v>
      </c>
      <c r="J13" s="7">
        <f t="shared" si="2"/>
        <v>21.804174288033146</v>
      </c>
      <c r="K13" s="19">
        <f t="shared" si="1"/>
        <v>-6.8965517241379244</v>
      </c>
    </row>
    <row r="14" spans="1:13" ht="15" customHeight="1" x14ac:dyDescent="0.2">
      <c r="A14" t="s">
        <v>9</v>
      </c>
      <c r="B14" s="9" t="s">
        <v>251</v>
      </c>
      <c r="C14" s="7">
        <v>1.58</v>
      </c>
      <c r="D14" s="7">
        <v>1.617</v>
      </c>
      <c r="E14" s="7">
        <v>1.575</v>
      </c>
      <c r="F14" s="7">
        <v>1.59</v>
      </c>
      <c r="G14" s="3">
        <v>2256374</v>
      </c>
      <c r="H14" s="3">
        <v>1748.78</v>
      </c>
      <c r="I14" s="3">
        <v>1099862562</v>
      </c>
      <c r="J14" s="7">
        <f t="shared" si="2"/>
        <v>21.400393282699198</v>
      </c>
      <c r="K14" s="19">
        <f t="shared" si="1"/>
        <v>-8.6206896551724093</v>
      </c>
    </row>
    <row r="15" spans="1:13" ht="15" customHeight="1" x14ac:dyDescent="0.2">
      <c r="A15" t="s">
        <v>9</v>
      </c>
      <c r="B15" s="9" t="s">
        <v>250</v>
      </c>
      <c r="C15" s="7">
        <v>1.62</v>
      </c>
      <c r="D15" s="7">
        <v>1.633</v>
      </c>
      <c r="E15" s="7">
        <v>1.59</v>
      </c>
      <c r="F15" s="7">
        <v>1.605</v>
      </c>
      <c r="G15" s="3">
        <v>1678880</v>
      </c>
      <c r="H15" s="3">
        <v>1765.28</v>
      </c>
      <c r="I15" s="3">
        <v>1099862562</v>
      </c>
      <c r="J15" s="7">
        <f t="shared" si="2"/>
        <v>21.602283785366172</v>
      </c>
      <c r="K15" s="19">
        <f t="shared" si="1"/>
        <v>-7.7586206896551726</v>
      </c>
    </row>
    <row r="16" spans="1:13" ht="15" customHeight="1" x14ac:dyDescent="0.2">
      <c r="A16" t="s">
        <v>9</v>
      </c>
      <c r="B16" s="9" t="s">
        <v>249</v>
      </c>
      <c r="C16" s="7">
        <v>1.61</v>
      </c>
      <c r="D16" s="7">
        <v>1.625</v>
      </c>
      <c r="E16" s="7">
        <v>1.587</v>
      </c>
      <c r="F16" s="7">
        <v>1.605</v>
      </c>
      <c r="G16" s="3">
        <v>1900865</v>
      </c>
      <c r="H16" s="3">
        <v>1765.28</v>
      </c>
      <c r="I16" s="3">
        <v>1099862562</v>
      </c>
      <c r="J16" s="7">
        <f t="shared" si="2"/>
        <v>21.602283785366172</v>
      </c>
      <c r="K16" s="19">
        <f t="shared" si="1"/>
        <v>-7.7586206896551726</v>
      </c>
    </row>
    <row r="17" spans="1:11" ht="15" customHeight="1" x14ac:dyDescent="0.2">
      <c r="A17" t="s">
        <v>9</v>
      </c>
      <c r="B17" s="9" t="s">
        <v>248</v>
      </c>
      <c r="C17" s="7">
        <v>1.61</v>
      </c>
      <c r="D17" s="7">
        <v>1.61</v>
      </c>
      <c r="E17" s="7">
        <v>1.52</v>
      </c>
      <c r="F17" s="7">
        <v>1.53</v>
      </c>
      <c r="G17" s="3">
        <v>2114082</v>
      </c>
      <c r="H17" s="3">
        <v>1682.79</v>
      </c>
      <c r="I17" s="3">
        <v>1099862562</v>
      </c>
      <c r="J17" s="7">
        <f t="shared" si="2"/>
        <v>20.592831272031304</v>
      </c>
      <c r="K17" s="19">
        <f t="shared" si="1"/>
        <v>-12.068965517241377</v>
      </c>
    </row>
    <row r="18" spans="1:11" ht="15" customHeight="1" x14ac:dyDescent="0.2">
      <c r="A18" t="s">
        <v>9</v>
      </c>
      <c r="B18" s="9" t="s">
        <v>247</v>
      </c>
      <c r="C18" s="7">
        <v>1.54</v>
      </c>
      <c r="D18" s="7">
        <v>1.62</v>
      </c>
      <c r="E18" s="7">
        <v>1.5149999999999999</v>
      </c>
      <c r="F18" s="7">
        <v>1.585</v>
      </c>
      <c r="G18" s="3">
        <v>4654978</v>
      </c>
      <c r="H18" s="3">
        <v>1743.28</v>
      </c>
      <c r="I18" s="3">
        <v>1099862562</v>
      </c>
      <c r="J18" s="7">
        <f t="shared" si="2"/>
        <v>21.333096448476873</v>
      </c>
      <c r="K18" s="19">
        <f t="shared" si="1"/>
        <v>-8.9080459770114953</v>
      </c>
    </row>
    <row r="19" spans="1:11" ht="15" customHeight="1" x14ac:dyDescent="0.2">
      <c r="A19" t="s">
        <v>9</v>
      </c>
      <c r="B19" s="9" t="s">
        <v>246</v>
      </c>
      <c r="C19" s="7">
        <v>1.585</v>
      </c>
      <c r="D19" s="7">
        <v>1.593</v>
      </c>
      <c r="E19" s="7">
        <v>1.5449999999999999</v>
      </c>
      <c r="F19" s="7">
        <v>1.5649999999999999</v>
      </c>
      <c r="G19" s="3">
        <v>2058873</v>
      </c>
      <c r="H19" s="3">
        <v>1721.28</v>
      </c>
      <c r="I19" s="3">
        <v>1099862562</v>
      </c>
      <c r="J19" s="7">
        <f t="shared" si="2"/>
        <v>21.063909111587574</v>
      </c>
      <c r="K19" s="19">
        <f t="shared" si="1"/>
        <v>-10.05747126436782</v>
      </c>
    </row>
    <row r="20" spans="1:11" ht="15" customHeight="1" x14ac:dyDescent="0.2">
      <c r="A20" t="s">
        <v>9</v>
      </c>
      <c r="B20" s="9" t="s">
        <v>245</v>
      </c>
      <c r="C20" s="7">
        <v>1.5449999999999999</v>
      </c>
      <c r="D20" s="7">
        <v>1.5649999999999999</v>
      </c>
      <c r="E20" s="7">
        <v>1.4850000000000001</v>
      </c>
      <c r="F20" s="7">
        <v>1.5549999999999999</v>
      </c>
      <c r="G20" s="3">
        <v>4010051</v>
      </c>
      <c r="H20" s="3">
        <v>1710.29</v>
      </c>
      <c r="I20" s="3">
        <v>1099862562</v>
      </c>
      <c r="J20" s="7">
        <f t="shared" si="2"/>
        <v>20.929315443142926</v>
      </c>
      <c r="K20" s="19">
        <f t="shared" si="1"/>
        <v>-10.632183908045981</v>
      </c>
    </row>
    <row r="21" spans="1:11" ht="15" customHeight="1" x14ac:dyDescent="0.2">
      <c r="A21" t="s">
        <v>9</v>
      </c>
      <c r="B21" s="9" t="s">
        <v>244</v>
      </c>
      <c r="C21" s="7">
        <v>1.5649999999999999</v>
      </c>
      <c r="D21" s="7">
        <v>1.613</v>
      </c>
      <c r="E21" s="7">
        <v>1.5449999999999999</v>
      </c>
      <c r="F21" s="7">
        <v>1.6</v>
      </c>
      <c r="G21" s="3">
        <v>2171692</v>
      </c>
      <c r="H21" s="3">
        <v>1759.78</v>
      </c>
      <c r="I21" s="3">
        <v>1099862562</v>
      </c>
      <c r="J21" s="7">
        <f t="shared" si="2"/>
        <v>21.534986951143846</v>
      </c>
      <c r="K21" s="19">
        <f t="shared" si="1"/>
        <v>-8.0459770114942479</v>
      </c>
    </row>
    <row r="22" spans="1:11" ht="15" customHeight="1" x14ac:dyDescent="0.2">
      <c r="A22" t="s">
        <v>9</v>
      </c>
      <c r="B22" s="9" t="s">
        <v>243</v>
      </c>
      <c r="C22" s="7">
        <v>1.59</v>
      </c>
      <c r="D22" s="7">
        <v>1.635</v>
      </c>
      <c r="E22" s="7">
        <v>1.5649999999999999</v>
      </c>
      <c r="F22" s="7">
        <v>1.625</v>
      </c>
      <c r="G22" s="3">
        <v>2709345</v>
      </c>
      <c r="H22" s="3">
        <v>1787.28</v>
      </c>
      <c r="I22" s="3">
        <v>1099862562</v>
      </c>
      <c r="J22" s="7">
        <f t="shared" si="2"/>
        <v>21.871471122255468</v>
      </c>
      <c r="K22" s="19">
        <f t="shared" si="1"/>
        <v>-6.6091954022988491</v>
      </c>
    </row>
    <row r="23" spans="1:11" ht="15" customHeight="1" x14ac:dyDescent="0.2">
      <c r="A23" t="s">
        <v>9</v>
      </c>
      <c r="B23" s="9" t="s">
        <v>242</v>
      </c>
      <c r="C23" s="7">
        <v>1.6</v>
      </c>
      <c r="D23" s="7">
        <v>1.61</v>
      </c>
      <c r="E23" s="7">
        <v>1.5349999999999999</v>
      </c>
      <c r="F23" s="7">
        <v>1.605</v>
      </c>
      <c r="G23" s="3">
        <v>2991972</v>
      </c>
      <c r="H23" s="3">
        <v>1765.28</v>
      </c>
      <c r="I23" s="3">
        <v>1099862562</v>
      </c>
      <c r="J23" s="7">
        <f t="shared" si="2"/>
        <v>21.602283785366172</v>
      </c>
      <c r="K23" s="19">
        <f t="shared" si="1"/>
        <v>-7.7586206896551726</v>
      </c>
    </row>
    <row r="24" spans="1:11" ht="15" customHeight="1" x14ac:dyDescent="0.2">
      <c r="A24" t="s">
        <v>9</v>
      </c>
      <c r="B24" s="9" t="s">
        <v>241</v>
      </c>
      <c r="C24" s="7">
        <v>1.66</v>
      </c>
      <c r="D24" s="7">
        <v>1.74</v>
      </c>
      <c r="E24" s="7">
        <v>1.66</v>
      </c>
      <c r="F24" s="7">
        <v>1.6950000000000001</v>
      </c>
      <c r="G24" s="3">
        <v>4467327</v>
      </c>
      <c r="H24" s="3">
        <v>1864.27</v>
      </c>
      <c r="I24" s="3">
        <v>1099862562</v>
      </c>
      <c r="J24" s="7">
        <f t="shared" si="2"/>
        <v>22.813626801368013</v>
      </c>
      <c r="K24" s="19">
        <f t="shared" si="1"/>
        <v>-2.5862068965517198</v>
      </c>
    </row>
    <row r="25" spans="1:11" ht="15" customHeight="1" x14ac:dyDescent="0.2">
      <c r="A25" t="s">
        <v>9</v>
      </c>
      <c r="B25" s="9" t="s">
        <v>240</v>
      </c>
      <c r="C25" s="7">
        <v>1.645</v>
      </c>
      <c r="D25" s="7">
        <v>1.65</v>
      </c>
      <c r="E25" s="7">
        <v>1.585</v>
      </c>
      <c r="F25" s="7">
        <v>1.605</v>
      </c>
      <c r="G25" s="3">
        <v>4138295</v>
      </c>
      <c r="H25" s="3">
        <v>1765.28</v>
      </c>
      <c r="I25" s="3">
        <v>1099862562</v>
      </c>
      <c r="J25" s="7">
        <f t="shared" si="2"/>
        <v>21.602283785366172</v>
      </c>
      <c r="K25" s="19">
        <f t="shared" si="1"/>
        <v>-7.7586206896551726</v>
      </c>
    </row>
    <row r="26" spans="1:11" ht="15" customHeight="1" x14ac:dyDescent="0.2">
      <c r="A26" t="s">
        <v>9</v>
      </c>
      <c r="B26" s="9" t="s">
        <v>239</v>
      </c>
      <c r="C26" s="7">
        <v>1.6</v>
      </c>
      <c r="D26" s="7">
        <v>1.62</v>
      </c>
      <c r="E26" s="7">
        <v>1.5649999999999999</v>
      </c>
      <c r="F26" s="7">
        <v>1.585</v>
      </c>
      <c r="G26" s="3">
        <v>2861264</v>
      </c>
      <c r="H26" s="3">
        <v>1743.28</v>
      </c>
      <c r="I26" s="3">
        <v>1099862562</v>
      </c>
      <c r="J26" s="7">
        <f t="shared" si="2"/>
        <v>21.333096448476873</v>
      </c>
      <c r="K26" s="19">
        <f t="shared" si="1"/>
        <v>-8.9080459770114953</v>
      </c>
    </row>
    <row r="27" spans="1:11" ht="15" customHeight="1" x14ac:dyDescent="0.2">
      <c r="A27" t="s">
        <v>9</v>
      </c>
      <c r="B27" s="9" t="s">
        <v>238</v>
      </c>
      <c r="C27" s="7">
        <v>1.6</v>
      </c>
      <c r="D27" s="7">
        <v>1.607</v>
      </c>
      <c r="E27" s="7">
        <v>1.57</v>
      </c>
      <c r="F27" s="7">
        <v>1.605</v>
      </c>
      <c r="G27" s="3">
        <v>1507183</v>
      </c>
      <c r="H27" s="3">
        <v>1765.28</v>
      </c>
      <c r="I27" s="3">
        <v>1099862562</v>
      </c>
      <c r="J27" s="7">
        <f t="shared" si="2"/>
        <v>21.602283785366172</v>
      </c>
      <c r="K27" s="19">
        <f t="shared" si="1"/>
        <v>-7.7586206896551726</v>
      </c>
    </row>
    <row r="28" spans="1:11" ht="15" customHeight="1" x14ac:dyDescent="0.2">
      <c r="A28" t="s">
        <v>9</v>
      </c>
      <c r="B28" s="9" t="s">
        <v>237</v>
      </c>
      <c r="C28" s="7">
        <v>1.605</v>
      </c>
      <c r="D28" s="7">
        <v>1.65</v>
      </c>
      <c r="E28" s="7">
        <v>1.587</v>
      </c>
      <c r="F28" s="7">
        <v>1.61</v>
      </c>
      <c r="G28" s="3">
        <v>2253562</v>
      </c>
      <c r="H28" s="3">
        <v>1770.78</v>
      </c>
      <c r="I28" s="3">
        <v>1099862562</v>
      </c>
      <c r="J28" s="7">
        <f t="shared" si="2"/>
        <v>21.669580619588498</v>
      </c>
      <c r="K28" s="19">
        <f t="shared" si="1"/>
        <v>-7.4712643678160857</v>
      </c>
    </row>
    <row r="29" spans="1:11" ht="15" customHeight="1" x14ac:dyDescent="0.2">
      <c r="A29" t="s">
        <v>9</v>
      </c>
      <c r="B29" s="9" t="s">
        <v>236</v>
      </c>
      <c r="C29" s="7">
        <v>1.6</v>
      </c>
      <c r="D29" s="7">
        <v>1.605</v>
      </c>
      <c r="E29" s="7">
        <v>1.55</v>
      </c>
      <c r="F29" s="7">
        <v>1.56</v>
      </c>
      <c r="G29" s="3">
        <v>2033747</v>
      </c>
      <c r="H29" s="3">
        <v>1749.98</v>
      </c>
      <c r="I29" s="3">
        <v>1121780094</v>
      </c>
      <c r="J29" s="7">
        <f t="shared" si="2"/>
        <v>20.996612277365251</v>
      </c>
      <c r="K29" s="19">
        <f t="shared" si="1"/>
        <v>-10.344827586206893</v>
      </c>
    </row>
    <row r="30" spans="1:11" ht="15" customHeight="1" x14ac:dyDescent="0.2">
      <c r="A30" t="s">
        <v>9</v>
      </c>
      <c r="B30" s="9" t="s">
        <v>235</v>
      </c>
      <c r="C30" s="7">
        <v>1.585</v>
      </c>
      <c r="D30" s="7">
        <v>1.585</v>
      </c>
      <c r="E30" s="7">
        <v>1.54</v>
      </c>
      <c r="F30" s="7">
        <v>1.54</v>
      </c>
      <c r="G30" s="3">
        <v>1047305</v>
      </c>
      <c r="H30" s="3">
        <v>1727.54</v>
      </c>
      <c r="I30" s="3">
        <v>1121780094</v>
      </c>
      <c r="J30" s="7">
        <f t="shared" si="2"/>
        <v>20.727424940475952</v>
      </c>
      <c r="K30" s="19">
        <f t="shared" si="1"/>
        <v>-11.494252873563216</v>
      </c>
    </row>
    <row r="31" spans="1:11" ht="15" customHeight="1" x14ac:dyDescent="0.2">
      <c r="A31" t="s">
        <v>9</v>
      </c>
      <c r="B31" s="9" t="s">
        <v>234</v>
      </c>
      <c r="C31" s="7">
        <v>1.5649999999999999</v>
      </c>
      <c r="D31" s="7">
        <v>1.605</v>
      </c>
      <c r="E31" s="7">
        <v>1.55</v>
      </c>
      <c r="F31" s="7">
        <v>1.57</v>
      </c>
      <c r="G31" s="3">
        <v>1872213</v>
      </c>
      <c r="H31" s="3">
        <v>1761.19</v>
      </c>
      <c r="I31" s="3">
        <v>1121780094</v>
      </c>
      <c r="J31" s="7">
        <f t="shared" si="2"/>
        <v>21.131205945809899</v>
      </c>
      <c r="K31" s="19">
        <f t="shared" si="1"/>
        <v>-9.7701149425287319</v>
      </c>
    </row>
    <row r="32" spans="1:11" ht="15" customHeight="1" x14ac:dyDescent="0.2">
      <c r="A32" t="s">
        <v>9</v>
      </c>
      <c r="B32" s="9" t="s">
        <v>233</v>
      </c>
      <c r="C32" s="7">
        <v>1.51</v>
      </c>
      <c r="D32" s="7">
        <v>1.532</v>
      </c>
      <c r="E32" s="7">
        <v>1.4650000000000001</v>
      </c>
      <c r="F32" s="7">
        <v>1.52</v>
      </c>
      <c r="G32" s="3">
        <v>2758420</v>
      </c>
      <c r="H32" s="3">
        <v>1705.11</v>
      </c>
      <c r="I32" s="3">
        <v>1121780094</v>
      </c>
      <c r="J32" s="7">
        <f t="shared" si="2"/>
        <v>20.458237603586653</v>
      </c>
      <c r="K32" s="19">
        <f t="shared" si="1"/>
        <v>-12.643678160919539</v>
      </c>
    </row>
    <row r="33" spans="1:11" ht="15" customHeight="1" x14ac:dyDescent="0.2">
      <c r="A33" t="s">
        <v>9</v>
      </c>
      <c r="B33" s="9" t="s">
        <v>232</v>
      </c>
      <c r="C33" s="7">
        <v>1.5149999999999999</v>
      </c>
      <c r="D33" s="7">
        <v>1.54</v>
      </c>
      <c r="E33" s="7">
        <v>1.5</v>
      </c>
      <c r="F33" s="7">
        <v>1.5049999999999999</v>
      </c>
      <c r="G33" s="3">
        <v>3018443</v>
      </c>
      <c r="H33" s="3">
        <v>1688.28</v>
      </c>
      <c r="I33" s="3">
        <v>1121780094</v>
      </c>
      <c r="J33" s="7">
        <f t="shared" si="2"/>
        <v>20.25634710091968</v>
      </c>
      <c r="K33" s="19">
        <f t="shared" si="1"/>
        <v>-13.505747126436788</v>
      </c>
    </row>
    <row r="34" spans="1:11" ht="15" customHeight="1" x14ac:dyDescent="0.2">
      <c r="A34" t="s">
        <v>9</v>
      </c>
      <c r="B34" s="9" t="s">
        <v>231</v>
      </c>
      <c r="C34" s="7">
        <v>1.55</v>
      </c>
      <c r="D34" s="7">
        <v>1.57</v>
      </c>
      <c r="E34" s="7">
        <v>1.5149999999999999</v>
      </c>
      <c r="F34" s="7">
        <v>1.5249999999999999</v>
      </c>
      <c r="G34" s="3">
        <v>2049513</v>
      </c>
      <c r="H34" s="3">
        <v>1710.71</v>
      </c>
      <c r="I34" s="3">
        <v>1121780094</v>
      </c>
      <c r="J34" s="7">
        <f t="shared" si="2"/>
        <v>20.525534437808975</v>
      </c>
      <c r="K34" s="19">
        <f t="shared" si="1"/>
        <v>-12.356321839080465</v>
      </c>
    </row>
    <row r="35" spans="1:11" ht="15" customHeight="1" x14ac:dyDescent="0.2">
      <c r="A35" t="s">
        <v>9</v>
      </c>
      <c r="B35" s="9" t="s">
        <v>230</v>
      </c>
      <c r="C35" s="7">
        <v>1.5249999999999999</v>
      </c>
      <c r="D35" s="7">
        <v>1.53</v>
      </c>
      <c r="E35" s="7">
        <v>1.5049999999999999</v>
      </c>
      <c r="F35" s="7">
        <v>1.5249999999999999</v>
      </c>
      <c r="G35" s="3">
        <v>1991462</v>
      </c>
      <c r="H35" s="3">
        <v>1710.71</v>
      </c>
      <c r="I35" s="3">
        <v>1121780094</v>
      </c>
      <c r="J35" s="7">
        <f t="shared" si="2"/>
        <v>20.525534437808975</v>
      </c>
      <c r="K35" s="19">
        <f t="shared" si="1"/>
        <v>-12.356321839080465</v>
      </c>
    </row>
    <row r="36" spans="1:11" ht="15" customHeight="1" x14ac:dyDescent="0.2">
      <c r="A36" t="s">
        <v>9</v>
      </c>
      <c r="B36" s="9" t="s">
        <v>229</v>
      </c>
      <c r="C36" s="7">
        <v>1.53</v>
      </c>
      <c r="D36" s="7">
        <v>1.542</v>
      </c>
      <c r="E36" s="7">
        <v>1.51</v>
      </c>
      <c r="F36" s="7">
        <v>1.54</v>
      </c>
      <c r="G36" s="3">
        <v>1701695</v>
      </c>
      <c r="H36" s="3">
        <v>1727.54</v>
      </c>
      <c r="I36" s="3">
        <v>1121780094</v>
      </c>
      <c r="J36" s="7">
        <f t="shared" si="2"/>
        <v>20.727424940475952</v>
      </c>
      <c r="K36" s="19">
        <f t="shared" si="1"/>
        <v>-11.494252873563216</v>
      </c>
    </row>
    <row r="37" spans="1:11" ht="15" customHeight="1" x14ac:dyDescent="0.2">
      <c r="A37" t="s">
        <v>9</v>
      </c>
      <c r="B37" s="9" t="s">
        <v>228</v>
      </c>
      <c r="C37" s="7">
        <v>1.5549999999999999</v>
      </c>
      <c r="D37" s="7">
        <v>1.595</v>
      </c>
      <c r="E37" s="7">
        <v>1.55</v>
      </c>
      <c r="F37" s="7">
        <v>1.5649999999999999</v>
      </c>
      <c r="G37" s="3">
        <v>3085938</v>
      </c>
      <c r="H37" s="3">
        <v>1755.59</v>
      </c>
      <c r="I37" s="3">
        <v>1121780094</v>
      </c>
      <c r="J37" s="7">
        <f t="shared" si="2"/>
        <v>21.063909111587574</v>
      </c>
      <c r="K37" s="19">
        <f>((F37-$F$2)/$F$2)*100</f>
        <v>-10.05747126436782</v>
      </c>
    </row>
    <row r="38" spans="1:11" ht="15" customHeight="1" x14ac:dyDescent="0.2">
      <c r="A38" t="s">
        <v>9</v>
      </c>
      <c r="B38" s="9" t="s">
        <v>227</v>
      </c>
      <c r="C38" s="7">
        <v>1.55</v>
      </c>
      <c r="D38" s="7">
        <v>1.57</v>
      </c>
      <c r="E38" s="7">
        <v>1.52</v>
      </c>
      <c r="F38" s="7">
        <v>1.5549999999999999</v>
      </c>
      <c r="G38" s="3">
        <v>1506630</v>
      </c>
      <c r="H38" s="3">
        <v>1744.37</v>
      </c>
      <c r="I38" s="3">
        <v>1121780094</v>
      </c>
      <c r="J38" s="7">
        <f t="shared" si="2"/>
        <v>20.929315443142926</v>
      </c>
      <c r="K38" s="19">
        <f t="shared" si="1"/>
        <v>-10.632183908045981</v>
      </c>
    </row>
    <row r="39" spans="1:11" ht="15" customHeight="1" x14ac:dyDescent="0.2">
      <c r="A39" t="s">
        <v>9</v>
      </c>
      <c r="B39" s="9" t="s">
        <v>226</v>
      </c>
      <c r="C39" s="7">
        <v>1.54</v>
      </c>
      <c r="D39" s="7">
        <v>1.5649999999999999</v>
      </c>
      <c r="E39" s="7">
        <v>1.54</v>
      </c>
      <c r="F39" s="7">
        <v>1.56</v>
      </c>
      <c r="G39" s="3">
        <v>1020411</v>
      </c>
      <c r="H39" s="3">
        <v>1749.98</v>
      </c>
      <c r="I39" s="3">
        <v>1121780094</v>
      </c>
      <c r="J39" s="7">
        <f t="shared" si="2"/>
        <v>20.996612277365251</v>
      </c>
      <c r="K39" s="19">
        <f t="shared" si="1"/>
        <v>-10.344827586206893</v>
      </c>
    </row>
    <row r="40" spans="1:11" ht="15" customHeight="1" x14ac:dyDescent="0.2">
      <c r="A40" t="s">
        <v>9</v>
      </c>
      <c r="B40" s="9" t="s">
        <v>225</v>
      </c>
      <c r="C40" s="7">
        <v>1.59</v>
      </c>
      <c r="D40" s="7">
        <v>1.625</v>
      </c>
      <c r="E40" s="7">
        <v>1.585</v>
      </c>
      <c r="F40" s="7">
        <v>1.61</v>
      </c>
      <c r="G40" s="3">
        <v>1607070</v>
      </c>
      <c r="H40" s="3">
        <v>1806.31</v>
      </c>
      <c r="I40" s="3">
        <v>1121933336</v>
      </c>
      <c r="J40" s="7">
        <f t="shared" si="2"/>
        <v>21.669580619588498</v>
      </c>
      <c r="K40" s="19">
        <f t="shared" si="1"/>
        <v>-7.4712643678160857</v>
      </c>
    </row>
    <row r="41" spans="1:11" ht="15" customHeight="1" x14ac:dyDescent="0.2">
      <c r="A41" t="s">
        <v>9</v>
      </c>
      <c r="B41" s="9" t="s">
        <v>224</v>
      </c>
      <c r="C41" s="7">
        <v>1.59</v>
      </c>
      <c r="D41" s="7">
        <v>1.6</v>
      </c>
      <c r="E41" s="7">
        <v>1.52</v>
      </c>
      <c r="F41" s="7">
        <v>1.57</v>
      </c>
      <c r="G41" s="3">
        <v>3124151</v>
      </c>
      <c r="H41" s="3">
        <v>1761.44</v>
      </c>
      <c r="I41" s="3">
        <v>1121933336</v>
      </c>
      <c r="J41" s="7">
        <f t="shared" si="2"/>
        <v>21.131205945809899</v>
      </c>
      <c r="K41" s="19">
        <f t="shared" si="1"/>
        <v>-9.7701149425287319</v>
      </c>
    </row>
    <row r="42" spans="1:11" ht="15" customHeight="1" x14ac:dyDescent="0.2">
      <c r="A42" t="s">
        <v>9</v>
      </c>
      <c r="B42" s="9" t="s">
        <v>223</v>
      </c>
      <c r="C42" s="7">
        <v>1.59</v>
      </c>
      <c r="D42" s="7">
        <v>1.615</v>
      </c>
      <c r="E42" s="7">
        <v>1.57</v>
      </c>
      <c r="F42" s="7">
        <v>1.575</v>
      </c>
      <c r="G42" s="3">
        <v>2456865</v>
      </c>
      <c r="H42" s="3">
        <v>1767.05</v>
      </c>
      <c r="I42" s="3">
        <v>1121933336</v>
      </c>
      <c r="J42" s="7">
        <f t="shared" si="2"/>
        <v>21.198502780032221</v>
      </c>
      <c r="K42" s="19">
        <f t="shared" si="1"/>
        <v>-9.4827586206896584</v>
      </c>
    </row>
    <row r="43" spans="1:11" ht="15" customHeight="1" x14ac:dyDescent="0.2">
      <c r="A43" t="s">
        <v>9</v>
      </c>
      <c r="B43" s="9" t="s">
        <v>222</v>
      </c>
      <c r="C43" s="7">
        <v>1.57</v>
      </c>
      <c r="D43" s="7">
        <v>1.57</v>
      </c>
      <c r="E43" s="7">
        <v>1.48</v>
      </c>
      <c r="F43" s="7">
        <v>1.53</v>
      </c>
      <c r="G43" s="3">
        <v>7744766</v>
      </c>
      <c r="H43" s="3">
        <v>1716.56</v>
      </c>
      <c r="I43" s="3">
        <v>1121933336</v>
      </c>
      <c r="J43" s="7">
        <f t="shared" si="2"/>
        <v>20.592831272031304</v>
      </c>
      <c r="K43" s="19">
        <f t="shared" si="1"/>
        <v>-12.068965517241377</v>
      </c>
    </row>
    <row r="44" spans="1:11" ht="15" customHeight="1" x14ac:dyDescent="0.2">
      <c r="A44" t="s">
        <v>9</v>
      </c>
      <c r="B44" s="9" t="s">
        <v>221</v>
      </c>
      <c r="C44" s="7">
        <v>1.5449999999999999</v>
      </c>
      <c r="D44" s="7">
        <v>1.58</v>
      </c>
      <c r="E44" s="7">
        <v>1.5449999999999999</v>
      </c>
      <c r="F44" s="7">
        <v>1.58</v>
      </c>
      <c r="G44" s="3">
        <v>4120456</v>
      </c>
      <c r="H44" s="3">
        <v>1772.65</v>
      </c>
      <c r="I44" s="3">
        <v>1121933336</v>
      </c>
      <c r="J44" s="7">
        <f t="shared" si="2"/>
        <v>21.265799614254547</v>
      </c>
      <c r="K44" s="19">
        <f t="shared" si="1"/>
        <v>-9.1954022988505706</v>
      </c>
    </row>
    <row r="45" spans="1:11" ht="15" customHeight="1" x14ac:dyDescent="0.2">
      <c r="A45" t="s">
        <v>9</v>
      </c>
      <c r="B45" s="9" t="s">
        <v>220</v>
      </c>
      <c r="C45" s="7">
        <v>1.625</v>
      </c>
      <c r="D45" s="7">
        <v>1.72</v>
      </c>
      <c r="E45" s="7">
        <v>1.625</v>
      </c>
      <c r="F45" s="7">
        <v>1.7</v>
      </c>
      <c r="G45" s="3">
        <v>4861599</v>
      </c>
      <c r="H45" s="3">
        <v>1907.29</v>
      </c>
      <c r="I45" s="3">
        <v>1121933336</v>
      </c>
      <c r="J45" s="7">
        <f t="shared" si="2"/>
        <v>22.880923635590335</v>
      </c>
      <c r="K45" s="19">
        <f t="shared" si="1"/>
        <v>-2.2988505747126458</v>
      </c>
    </row>
    <row r="46" spans="1:11" ht="15" customHeight="1" x14ac:dyDescent="0.2">
      <c r="A46" t="s">
        <v>9</v>
      </c>
      <c r="B46" s="9" t="s">
        <v>219</v>
      </c>
      <c r="C46" s="7">
        <v>1.7450000000000001</v>
      </c>
      <c r="D46" s="7">
        <v>1.84</v>
      </c>
      <c r="E46" s="7">
        <v>1.7250000000000001</v>
      </c>
      <c r="F46" s="7">
        <v>1.825</v>
      </c>
      <c r="G46" s="3">
        <v>9633247</v>
      </c>
      <c r="H46" s="3">
        <v>2047.53</v>
      </c>
      <c r="I46" s="3">
        <v>1121933336</v>
      </c>
      <c r="J46" s="7">
        <f t="shared" si="2"/>
        <v>24.563344491148449</v>
      </c>
      <c r="K46" s="19">
        <f t="shared" si="1"/>
        <v>4.885057471264366</v>
      </c>
    </row>
    <row r="47" spans="1:11" ht="15" customHeight="1" x14ac:dyDescent="0.2">
      <c r="A47" t="s">
        <v>9</v>
      </c>
      <c r="B47" s="9" t="s">
        <v>218</v>
      </c>
      <c r="C47" s="7">
        <v>1.82</v>
      </c>
      <c r="D47" s="7">
        <v>1.865</v>
      </c>
      <c r="E47" s="7">
        <v>1.82</v>
      </c>
      <c r="F47" s="7">
        <v>1.855</v>
      </c>
      <c r="G47" s="3">
        <v>7716550</v>
      </c>
      <c r="H47" s="3">
        <v>2081.19</v>
      </c>
      <c r="I47" s="3">
        <v>1121933336</v>
      </c>
      <c r="J47" s="7">
        <f t="shared" si="2"/>
        <v>24.967125496482396</v>
      </c>
      <c r="K47" s="19">
        <f t="shared" si="1"/>
        <v>6.6091954022988491</v>
      </c>
    </row>
    <row r="48" spans="1:11" ht="15" customHeight="1" x14ac:dyDescent="0.2">
      <c r="A48" t="s">
        <v>9</v>
      </c>
      <c r="B48" s="9" t="s">
        <v>217</v>
      </c>
      <c r="C48" s="7">
        <v>1.875</v>
      </c>
      <c r="D48" s="7">
        <v>1.9850000000000001</v>
      </c>
      <c r="E48" s="7">
        <v>1.875</v>
      </c>
      <c r="F48" s="7">
        <v>1.917</v>
      </c>
      <c r="G48" s="3">
        <v>5796370</v>
      </c>
      <c r="H48" s="3">
        <v>2151.31</v>
      </c>
      <c r="I48" s="3">
        <v>1121933336</v>
      </c>
      <c r="J48" s="7">
        <f t="shared" si="2"/>
        <v>25.80160624083922</v>
      </c>
      <c r="K48" s="19">
        <f t="shared" si="1"/>
        <v>10.17241379310345</v>
      </c>
    </row>
    <row r="49" spans="1:11" ht="15" customHeight="1" x14ac:dyDescent="0.2">
      <c r="A49" t="s">
        <v>9</v>
      </c>
      <c r="B49" s="9" t="s">
        <v>216</v>
      </c>
      <c r="C49" s="7">
        <v>1.915</v>
      </c>
      <c r="D49" s="7">
        <v>1.92</v>
      </c>
      <c r="E49" s="7">
        <v>1.837</v>
      </c>
      <c r="F49" s="7">
        <v>1.86</v>
      </c>
      <c r="G49" s="3">
        <v>9841987</v>
      </c>
      <c r="H49" s="3">
        <v>2086.8000000000002</v>
      </c>
      <c r="I49" s="3">
        <v>1121933336</v>
      </c>
      <c r="J49" s="7">
        <f t="shared" si="2"/>
        <v>25.034422330704722</v>
      </c>
      <c r="K49" s="19">
        <f t="shared" si="1"/>
        <v>6.8965517241379377</v>
      </c>
    </row>
    <row r="50" spans="1:11" ht="15" customHeight="1" x14ac:dyDescent="0.2">
      <c r="A50" t="s">
        <v>9</v>
      </c>
      <c r="B50" s="9" t="s">
        <v>215</v>
      </c>
      <c r="C50" s="7">
        <v>1.88</v>
      </c>
      <c r="D50" s="7">
        <v>1.905</v>
      </c>
      <c r="E50" s="7">
        <v>1.84</v>
      </c>
      <c r="F50" s="7">
        <v>1.87</v>
      </c>
      <c r="G50" s="3">
        <v>3768559</v>
      </c>
      <c r="H50" s="3">
        <v>2098.02</v>
      </c>
      <c r="I50" s="3">
        <v>1121933336</v>
      </c>
      <c r="J50" s="7">
        <f t="shared" si="2"/>
        <v>25.169015999149373</v>
      </c>
      <c r="K50" s="19">
        <f t="shared" si="1"/>
        <v>7.4712643678160982</v>
      </c>
    </row>
    <row r="51" spans="1:11" ht="15" customHeight="1" x14ac:dyDescent="0.2">
      <c r="A51" t="s">
        <v>9</v>
      </c>
      <c r="B51" s="9" t="s">
        <v>214</v>
      </c>
      <c r="C51" s="7">
        <v>1.885</v>
      </c>
      <c r="D51" s="7">
        <v>1.915</v>
      </c>
      <c r="E51" s="7">
        <v>1.87</v>
      </c>
      <c r="F51" s="7">
        <v>1.895</v>
      </c>
      <c r="G51" s="3">
        <v>2929826</v>
      </c>
      <c r="H51" s="3">
        <v>2126.06</v>
      </c>
      <c r="I51" s="3">
        <v>1121933336</v>
      </c>
      <c r="J51" s="7">
        <f t="shared" si="2"/>
        <v>25.505500170260994</v>
      </c>
      <c r="K51" s="19">
        <f t="shared" si="1"/>
        <v>8.9080459770114953</v>
      </c>
    </row>
    <row r="52" spans="1:11" ht="15" customHeight="1" x14ac:dyDescent="0.2">
      <c r="A52" t="s">
        <v>9</v>
      </c>
      <c r="B52" s="9" t="s">
        <v>213</v>
      </c>
      <c r="C52" s="7">
        <v>1.89</v>
      </c>
      <c r="D52" s="7">
        <v>1.91</v>
      </c>
      <c r="E52" s="7">
        <v>1.837</v>
      </c>
      <c r="F52" s="7">
        <v>1.89</v>
      </c>
      <c r="G52" s="3">
        <v>4131043</v>
      </c>
      <c r="H52" s="3">
        <v>2120.4499999999998</v>
      </c>
      <c r="I52" s="3">
        <v>1121933336</v>
      </c>
      <c r="J52" s="7">
        <f t="shared" si="2"/>
        <v>25.438203336038665</v>
      </c>
      <c r="K52" s="19">
        <f t="shared" si="1"/>
        <v>8.6206896551724093</v>
      </c>
    </row>
    <row r="53" spans="1:11" ht="15" customHeight="1" x14ac:dyDescent="0.2">
      <c r="A53" t="s">
        <v>9</v>
      </c>
      <c r="B53" s="9" t="s">
        <v>212</v>
      </c>
      <c r="C53" s="7">
        <v>1.915</v>
      </c>
      <c r="D53" s="7">
        <v>1.95</v>
      </c>
      <c r="E53" s="7">
        <v>1.867</v>
      </c>
      <c r="F53" s="7">
        <v>1.895</v>
      </c>
      <c r="G53" s="3">
        <v>9945560</v>
      </c>
      <c r="H53" s="3">
        <v>2126.06</v>
      </c>
      <c r="I53" s="3">
        <v>1121933336</v>
      </c>
      <c r="J53" s="7">
        <f t="shared" si="2"/>
        <v>25.505500170260994</v>
      </c>
      <c r="K53" s="19">
        <f t="shared" si="1"/>
        <v>8.9080459770114953</v>
      </c>
    </row>
    <row r="54" spans="1:11" ht="15" customHeight="1" x14ac:dyDescent="0.2">
      <c r="A54" t="s">
        <v>9</v>
      </c>
      <c r="B54" s="9" t="s">
        <v>211</v>
      </c>
      <c r="C54" s="7">
        <v>1.89</v>
      </c>
      <c r="D54" s="7">
        <v>1.96</v>
      </c>
      <c r="E54" s="7">
        <v>1.885</v>
      </c>
      <c r="F54" s="7">
        <v>1.92</v>
      </c>
      <c r="G54" s="3">
        <v>17964285</v>
      </c>
      <c r="H54" s="3">
        <v>2154.11</v>
      </c>
      <c r="I54" s="3">
        <v>1121933336</v>
      </c>
      <c r="J54" s="7">
        <f t="shared" si="2"/>
        <v>25.841984341372616</v>
      </c>
      <c r="K54" s="19">
        <f t="shared" si="1"/>
        <v>10.344827586206893</v>
      </c>
    </row>
    <row r="55" spans="1:11" ht="15" customHeight="1" x14ac:dyDescent="0.2">
      <c r="A55" t="s">
        <v>9</v>
      </c>
      <c r="B55" s="9" t="s">
        <v>210</v>
      </c>
      <c r="C55" s="7">
        <v>1.91</v>
      </c>
      <c r="D55" s="7">
        <v>1.92</v>
      </c>
      <c r="E55" s="7">
        <v>1.84</v>
      </c>
      <c r="F55" s="7">
        <v>1.865</v>
      </c>
      <c r="G55" s="3">
        <v>2919565</v>
      </c>
      <c r="H55" s="3">
        <v>2092.41</v>
      </c>
      <c r="I55" s="3">
        <v>1121933336</v>
      </c>
      <c r="J55" s="7">
        <f t="shared" si="2"/>
        <v>25.101719164927044</v>
      </c>
      <c r="K55" s="19">
        <f t="shared" si="1"/>
        <v>7.1839080459770113</v>
      </c>
    </row>
    <row r="56" spans="1:11" ht="15" customHeight="1" x14ac:dyDescent="0.2">
      <c r="A56" t="s">
        <v>9</v>
      </c>
      <c r="B56" s="9" t="s">
        <v>209</v>
      </c>
      <c r="C56" s="7">
        <v>1.895</v>
      </c>
      <c r="D56" s="7">
        <v>1.895</v>
      </c>
      <c r="E56" s="7">
        <v>1.843</v>
      </c>
      <c r="F56" s="7">
        <v>1.885</v>
      </c>
      <c r="G56" s="3">
        <v>2593069</v>
      </c>
      <c r="H56" s="3">
        <v>2114.84</v>
      </c>
      <c r="I56" s="3">
        <v>1121933336</v>
      </c>
      <c r="J56" s="7">
        <f t="shared" si="2"/>
        <v>25.370906501816343</v>
      </c>
      <c r="K56" s="19">
        <f t="shared" si="1"/>
        <v>8.3333333333333339</v>
      </c>
    </row>
    <row r="57" spans="1:11" ht="15" customHeight="1" x14ac:dyDescent="0.2">
      <c r="A57" t="s">
        <v>9</v>
      </c>
      <c r="B57" s="9" t="s">
        <v>208</v>
      </c>
      <c r="C57" s="7">
        <v>1.885</v>
      </c>
      <c r="D57" s="7">
        <v>1.885</v>
      </c>
      <c r="E57" s="7">
        <v>1.845</v>
      </c>
      <c r="F57" s="7">
        <v>1.88</v>
      </c>
      <c r="G57" s="3">
        <v>2415019</v>
      </c>
      <c r="H57" s="3">
        <v>2109.23</v>
      </c>
      <c r="I57" s="3">
        <v>1121933336</v>
      </c>
      <c r="J57" s="7">
        <f t="shared" si="2"/>
        <v>25.303609667594017</v>
      </c>
      <c r="K57" s="19">
        <f t="shared" si="1"/>
        <v>8.0459770114942479</v>
      </c>
    </row>
    <row r="58" spans="1:11" ht="15" customHeight="1" x14ac:dyDescent="0.2">
      <c r="A58" t="s">
        <v>9</v>
      </c>
      <c r="B58" s="9" t="s">
        <v>207</v>
      </c>
      <c r="C58" s="7">
        <v>1.94</v>
      </c>
      <c r="D58" s="7">
        <v>1.98</v>
      </c>
      <c r="E58" s="7">
        <v>1.9</v>
      </c>
      <c r="F58" s="7">
        <v>1.92</v>
      </c>
      <c r="G58" s="3">
        <v>6933544</v>
      </c>
      <c r="H58" s="3">
        <v>2154.11</v>
      </c>
      <c r="I58" s="3">
        <v>1121933336</v>
      </c>
      <c r="J58" s="7">
        <f t="shared" si="2"/>
        <v>25.841984341372616</v>
      </c>
      <c r="K58" s="19">
        <f t="shared" si="1"/>
        <v>10.344827586206893</v>
      </c>
    </row>
    <row r="59" spans="1:11" ht="15" customHeight="1" x14ac:dyDescent="0.2">
      <c r="A59" t="s">
        <v>9</v>
      </c>
      <c r="B59" s="9" t="s">
        <v>206</v>
      </c>
      <c r="C59" s="7">
        <v>1.82</v>
      </c>
      <c r="D59" s="7">
        <v>1.835</v>
      </c>
      <c r="E59" s="7">
        <v>1.75</v>
      </c>
      <c r="F59" s="7">
        <v>1.8</v>
      </c>
      <c r="G59" s="3">
        <v>10360999</v>
      </c>
      <c r="H59" s="3">
        <v>2019.48</v>
      </c>
      <c r="I59" s="3">
        <v>1121933336</v>
      </c>
      <c r="J59" s="7">
        <f t="shared" si="2"/>
        <v>24.226860320036828</v>
      </c>
      <c r="K59" s="19">
        <f t="shared" si="1"/>
        <v>3.4482758620689689</v>
      </c>
    </row>
    <row r="60" spans="1:11" ht="15" customHeight="1" x14ac:dyDescent="0.2">
      <c r="A60" t="s">
        <v>9</v>
      </c>
      <c r="B60" s="9" t="s">
        <v>205</v>
      </c>
      <c r="C60" s="7">
        <v>1.81</v>
      </c>
      <c r="D60" s="7">
        <v>1.83</v>
      </c>
      <c r="E60" s="7">
        <v>1.74</v>
      </c>
      <c r="F60" s="7">
        <v>1.8</v>
      </c>
      <c r="G60" s="3">
        <v>7314064</v>
      </c>
      <c r="H60" s="3">
        <v>2019.48</v>
      </c>
      <c r="I60" s="3">
        <v>1121933336</v>
      </c>
      <c r="J60" s="7">
        <f t="shared" si="2"/>
        <v>24.226860320036828</v>
      </c>
      <c r="K60" s="19">
        <f t="shared" si="1"/>
        <v>3.4482758620689689</v>
      </c>
    </row>
    <row r="61" spans="1:11" ht="15" customHeight="1" x14ac:dyDescent="0.2">
      <c r="A61" t="s">
        <v>9</v>
      </c>
      <c r="B61" s="9" t="s">
        <v>204</v>
      </c>
      <c r="C61" s="7">
        <v>1.845</v>
      </c>
      <c r="D61" s="7">
        <v>1.853</v>
      </c>
      <c r="E61" s="7">
        <v>1.76</v>
      </c>
      <c r="F61" s="7">
        <v>1.76</v>
      </c>
      <c r="G61" s="3">
        <v>4447377</v>
      </c>
      <c r="H61" s="3">
        <v>1974.6</v>
      </c>
      <c r="I61" s="3">
        <v>1121933336</v>
      </c>
      <c r="J61" s="7">
        <f t="shared" si="2"/>
        <v>23.688485646258229</v>
      </c>
      <c r="K61" s="19">
        <f t="shared" si="1"/>
        <v>1.1494252873563229</v>
      </c>
    </row>
    <row r="62" spans="1:11" ht="15" customHeight="1" x14ac:dyDescent="0.2">
      <c r="A62" t="s">
        <v>9</v>
      </c>
      <c r="B62" s="9" t="s">
        <v>203</v>
      </c>
      <c r="C62" s="7">
        <v>1.77</v>
      </c>
      <c r="D62" s="7">
        <v>1.8049999999999999</v>
      </c>
      <c r="E62" s="7">
        <v>1.72</v>
      </c>
      <c r="F62" s="7">
        <v>1.8049999999999999</v>
      </c>
      <c r="G62" s="3">
        <v>5035994</v>
      </c>
      <c r="H62" s="3">
        <v>2025.09</v>
      </c>
      <c r="I62" s="3">
        <v>1121933336</v>
      </c>
      <c r="J62" s="7">
        <f t="shared" si="2"/>
        <v>24.29415715425915</v>
      </c>
      <c r="K62" s="19">
        <f t="shared" si="1"/>
        <v>3.7356321839080429</v>
      </c>
    </row>
    <row r="63" spans="1:11" ht="15" customHeight="1" x14ac:dyDescent="0.2">
      <c r="A63" t="s">
        <v>9</v>
      </c>
      <c r="B63" s="9" t="s">
        <v>202</v>
      </c>
      <c r="C63" s="7">
        <v>1.83</v>
      </c>
      <c r="D63" s="7">
        <v>1.89</v>
      </c>
      <c r="E63" s="7">
        <v>1.83</v>
      </c>
      <c r="F63" s="7">
        <v>1.855</v>
      </c>
      <c r="G63" s="3">
        <v>4712856</v>
      </c>
      <c r="H63" s="3">
        <v>2081.19</v>
      </c>
      <c r="I63" s="3">
        <v>1121933336</v>
      </c>
      <c r="J63" s="7">
        <f t="shared" si="2"/>
        <v>24.967125496482396</v>
      </c>
      <c r="K63" s="19">
        <f t="shared" si="1"/>
        <v>6.6091954022988491</v>
      </c>
    </row>
    <row r="64" spans="1:11" ht="15" customHeight="1" x14ac:dyDescent="0.2">
      <c r="A64" t="s">
        <v>9</v>
      </c>
      <c r="B64" s="9" t="s">
        <v>201</v>
      </c>
      <c r="C64" s="7">
        <v>1.9</v>
      </c>
      <c r="D64" s="7">
        <v>1.95</v>
      </c>
      <c r="E64" s="7">
        <v>1.9</v>
      </c>
      <c r="F64" s="7">
        <v>1.9350000000000001</v>
      </c>
      <c r="G64" s="3">
        <v>4505602</v>
      </c>
      <c r="H64" s="3">
        <v>2170.94</v>
      </c>
      <c r="I64" s="3">
        <v>1121933336</v>
      </c>
      <c r="J64" s="7">
        <f t="shared" si="2"/>
        <v>26.043874844039589</v>
      </c>
      <c r="K64" s="19">
        <f t="shared" si="1"/>
        <v>11.206896551724141</v>
      </c>
    </row>
    <row r="65" spans="1:11" ht="15" customHeight="1" x14ac:dyDescent="0.2">
      <c r="A65" t="s">
        <v>9</v>
      </c>
      <c r="B65" s="9" t="s">
        <v>200</v>
      </c>
      <c r="C65" s="7">
        <v>1.95</v>
      </c>
      <c r="D65" s="7">
        <v>1.96</v>
      </c>
      <c r="E65" s="7">
        <v>1.9</v>
      </c>
      <c r="F65" s="7">
        <v>1.905</v>
      </c>
      <c r="G65" s="3">
        <v>5249802</v>
      </c>
      <c r="H65" s="3">
        <v>2137.2800000000002</v>
      </c>
      <c r="I65" s="3">
        <v>1121933336</v>
      </c>
      <c r="J65" s="7">
        <f t="shared" si="2"/>
        <v>25.640093838705642</v>
      </c>
      <c r="K65" s="19">
        <f t="shared" si="1"/>
        <v>9.4827586206896584</v>
      </c>
    </row>
    <row r="66" spans="1:11" ht="15" customHeight="1" x14ac:dyDescent="0.2">
      <c r="A66" t="s">
        <v>9</v>
      </c>
      <c r="B66" s="9" t="s">
        <v>199</v>
      </c>
      <c r="C66" s="7">
        <v>1.9350000000000001</v>
      </c>
      <c r="D66" s="7">
        <v>1.9450000000000001</v>
      </c>
      <c r="E66" s="7">
        <v>1.89</v>
      </c>
      <c r="F66" s="7">
        <v>1.91</v>
      </c>
      <c r="G66" s="3">
        <v>4492842</v>
      </c>
      <c r="H66" s="3">
        <v>2142.89</v>
      </c>
      <c r="I66" s="3">
        <v>1121933336</v>
      </c>
      <c r="J66" s="7">
        <f t="shared" si="2"/>
        <v>25.707390672927964</v>
      </c>
      <c r="K66" s="19">
        <f t="shared" si="1"/>
        <v>9.7701149425287319</v>
      </c>
    </row>
    <row r="67" spans="1:11" ht="15" customHeight="1" x14ac:dyDescent="0.2">
      <c r="A67" t="s">
        <v>9</v>
      </c>
      <c r="B67" s="9" t="s">
        <v>198</v>
      </c>
      <c r="C67" s="7">
        <v>1.89</v>
      </c>
      <c r="D67" s="7">
        <v>1.89</v>
      </c>
      <c r="E67" s="7">
        <v>1.845</v>
      </c>
      <c r="F67" s="7">
        <v>1.855</v>
      </c>
      <c r="G67" s="3">
        <v>2056404</v>
      </c>
      <c r="H67" s="3">
        <v>2081.19</v>
      </c>
      <c r="I67" s="3">
        <v>1121933336</v>
      </c>
      <c r="J67" s="7">
        <f t="shared" si="2"/>
        <v>24.967125496482396</v>
      </c>
      <c r="K67" s="19">
        <f t="shared" ref="K67" si="3">((F67-$F$2)/$F$2)*100</f>
        <v>6.6091954022988491</v>
      </c>
    </row>
    <row r="68" spans="1:11" ht="15" customHeight="1" x14ac:dyDescent="0.2">
      <c r="A68" t="s">
        <v>9</v>
      </c>
      <c r="B68" s="9" t="s">
        <v>197</v>
      </c>
      <c r="C68" s="7">
        <v>1.9</v>
      </c>
      <c r="D68" s="7">
        <v>1.958</v>
      </c>
      <c r="E68" s="7">
        <v>1.865</v>
      </c>
      <c r="F68" s="7">
        <v>1.9450000000000001</v>
      </c>
      <c r="G68" s="3">
        <v>5630953</v>
      </c>
      <c r="H68" s="3">
        <v>2182.16</v>
      </c>
      <c r="I68" s="3">
        <v>1121933336</v>
      </c>
      <c r="J68" s="7">
        <f t="shared" si="2"/>
        <v>26.178468512484237</v>
      </c>
      <c r="K68" s="19">
        <f t="shared" si="1"/>
        <v>11.781609195402302</v>
      </c>
    </row>
    <row r="69" spans="1:11" ht="15" customHeight="1" x14ac:dyDescent="0.2">
      <c r="A69" t="s">
        <v>9</v>
      </c>
      <c r="B69" s="9" t="s">
        <v>196</v>
      </c>
      <c r="C69" s="7">
        <v>1.97</v>
      </c>
      <c r="D69" s="7">
        <v>1.97</v>
      </c>
      <c r="E69" s="7">
        <v>1.93</v>
      </c>
      <c r="F69" s="7">
        <v>1.95</v>
      </c>
      <c r="G69" s="3">
        <v>3540812</v>
      </c>
      <c r="H69" s="3">
        <v>2187.77</v>
      </c>
      <c r="I69" s="3">
        <v>1121933336</v>
      </c>
      <c r="J69" s="7">
        <f t="shared" si="2"/>
        <v>26.245765346706563</v>
      </c>
      <c r="K69" s="19">
        <f t="shared" ref="K69:K132" si="4">((F69-$F$2)/$F$2)*100</f>
        <v>12.068965517241377</v>
      </c>
    </row>
    <row r="70" spans="1:11" ht="15" customHeight="1" x14ac:dyDescent="0.2">
      <c r="A70" t="s">
        <v>9</v>
      </c>
      <c r="B70" s="9" t="s">
        <v>195</v>
      </c>
      <c r="C70" s="7">
        <v>1.9350000000000001</v>
      </c>
      <c r="D70" s="7">
        <v>1.9450000000000001</v>
      </c>
      <c r="E70" s="7">
        <v>1.915</v>
      </c>
      <c r="F70" s="7">
        <v>1.9450000000000001</v>
      </c>
      <c r="G70" s="3">
        <v>4628780</v>
      </c>
      <c r="H70" s="3">
        <v>2182.16</v>
      </c>
      <c r="I70" s="3">
        <v>1121933336</v>
      </c>
      <c r="J70" s="7">
        <f t="shared" si="2"/>
        <v>26.178468512484237</v>
      </c>
      <c r="K70" s="19">
        <f t="shared" si="4"/>
        <v>11.781609195402302</v>
      </c>
    </row>
    <row r="71" spans="1:11" ht="15" customHeight="1" x14ac:dyDescent="0.2">
      <c r="A71" t="s">
        <v>9</v>
      </c>
      <c r="B71" s="9" t="s">
        <v>194</v>
      </c>
      <c r="C71" s="7">
        <v>1.89</v>
      </c>
      <c r="D71" s="7">
        <v>1.9450000000000001</v>
      </c>
      <c r="E71" s="7">
        <v>1.89</v>
      </c>
      <c r="F71" s="7">
        <v>1.915</v>
      </c>
      <c r="G71" s="3">
        <v>7741608</v>
      </c>
      <c r="H71" s="3">
        <v>2148.5</v>
      </c>
      <c r="I71" s="3">
        <v>1121933336</v>
      </c>
      <c r="J71" s="7">
        <f t="shared" ref="J71:J134" si="5">F71/0.0742977</f>
        <v>25.77468750715029</v>
      </c>
      <c r="K71" s="19">
        <f t="shared" si="4"/>
        <v>10.05747126436782</v>
      </c>
    </row>
    <row r="72" spans="1:11" ht="15" customHeight="1" x14ac:dyDescent="0.2">
      <c r="A72" t="s">
        <v>9</v>
      </c>
      <c r="B72" s="9" t="s">
        <v>193</v>
      </c>
      <c r="C72" s="7">
        <v>1.9450000000000001</v>
      </c>
      <c r="D72" s="7">
        <v>2.0099999999999998</v>
      </c>
      <c r="E72" s="7">
        <v>1.9419999999999999</v>
      </c>
      <c r="F72" s="7">
        <v>1.9850000000000001</v>
      </c>
      <c r="G72" s="3">
        <v>8903904</v>
      </c>
      <c r="H72" s="3">
        <v>2227.04</v>
      </c>
      <c r="I72" s="3">
        <v>1121933336</v>
      </c>
      <c r="J72" s="7">
        <f t="shared" si="5"/>
        <v>26.716843186262835</v>
      </c>
      <c r="K72" s="19">
        <f t="shared" si="4"/>
        <v>14.080459770114947</v>
      </c>
    </row>
    <row r="73" spans="1:11" ht="15" customHeight="1" x14ac:dyDescent="0.2">
      <c r="A73" t="s">
        <v>9</v>
      </c>
      <c r="B73" s="9" t="s">
        <v>192</v>
      </c>
      <c r="C73" s="7">
        <v>1.9350000000000001</v>
      </c>
      <c r="D73" s="7">
        <v>1.9550000000000001</v>
      </c>
      <c r="E73" s="7">
        <v>1.895</v>
      </c>
      <c r="F73" s="7">
        <v>1.895</v>
      </c>
      <c r="G73" s="3">
        <v>4038891</v>
      </c>
      <c r="H73" s="3">
        <v>2126.06</v>
      </c>
      <c r="I73" s="3">
        <v>1121933336</v>
      </c>
      <c r="J73" s="7">
        <f t="shared" si="5"/>
        <v>25.505500170260994</v>
      </c>
      <c r="K73" s="19">
        <f t="shared" si="4"/>
        <v>8.9080459770114953</v>
      </c>
    </row>
    <row r="74" spans="1:11" ht="15" customHeight="1" x14ac:dyDescent="0.2">
      <c r="A74" t="s">
        <v>9</v>
      </c>
      <c r="B74" s="9" t="s">
        <v>191</v>
      </c>
      <c r="C74" s="7">
        <v>1.87</v>
      </c>
      <c r="D74" s="7">
        <v>1.895</v>
      </c>
      <c r="E74" s="7">
        <v>1.837</v>
      </c>
      <c r="F74" s="7">
        <v>1.845</v>
      </c>
      <c r="G74" s="3">
        <v>4579608</v>
      </c>
      <c r="H74" s="3">
        <v>2069.9699999999998</v>
      </c>
      <c r="I74" s="3">
        <v>1121933336</v>
      </c>
      <c r="J74" s="7">
        <f t="shared" si="5"/>
        <v>24.832531828037748</v>
      </c>
      <c r="K74" s="19">
        <f t="shared" si="4"/>
        <v>6.0344827586206886</v>
      </c>
    </row>
    <row r="75" spans="1:11" ht="15" customHeight="1" x14ac:dyDescent="0.2">
      <c r="A75" t="s">
        <v>9</v>
      </c>
      <c r="B75" s="9" t="s">
        <v>190</v>
      </c>
      <c r="C75" s="7">
        <v>1.855</v>
      </c>
      <c r="D75" s="7">
        <v>1.895</v>
      </c>
      <c r="E75" s="7">
        <v>1.85</v>
      </c>
      <c r="F75" s="7">
        <v>1.88</v>
      </c>
      <c r="G75" s="3">
        <v>4152897</v>
      </c>
      <c r="H75" s="3">
        <v>2109.23</v>
      </c>
      <c r="I75" s="3">
        <v>1121933336</v>
      </c>
      <c r="J75" s="7">
        <f t="shared" si="5"/>
        <v>25.303609667594017</v>
      </c>
      <c r="K75" s="19">
        <f t="shared" si="4"/>
        <v>8.0459770114942479</v>
      </c>
    </row>
    <row r="76" spans="1:11" ht="15" customHeight="1" x14ac:dyDescent="0.2">
      <c r="A76" t="s">
        <v>9</v>
      </c>
      <c r="B76" s="9" t="s">
        <v>189</v>
      </c>
      <c r="C76" s="7">
        <v>1.87</v>
      </c>
      <c r="D76" s="7">
        <v>1.9</v>
      </c>
      <c r="E76" s="7">
        <v>1.8149999999999999</v>
      </c>
      <c r="F76" s="7">
        <v>1.825</v>
      </c>
      <c r="G76" s="3">
        <v>5565001</v>
      </c>
      <c r="H76" s="3">
        <v>2047.53</v>
      </c>
      <c r="I76" s="3">
        <v>1121933336</v>
      </c>
      <c r="J76" s="7">
        <f t="shared" si="5"/>
        <v>24.563344491148449</v>
      </c>
      <c r="K76" s="19">
        <f t="shared" si="4"/>
        <v>4.885057471264366</v>
      </c>
    </row>
    <row r="77" spans="1:11" ht="15" customHeight="1" x14ac:dyDescent="0.2">
      <c r="A77" t="s">
        <v>9</v>
      </c>
      <c r="B77" s="9" t="s">
        <v>188</v>
      </c>
      <c r="C77" s="7">
        <v>1.81</v>
      </c>
      <c r="D77" s="7">
        <v>1.89</v>
      </c>
      <c r="E77" s="7">
        <v>1.7949999999999999</v>
      </c>
      <c r="F77" s="7">
        <v>1.875</v>
      </c>
      <c r="G77" s="3">
        <v>6280508</v>
      </c>
      <c r="H77" s="3">
        <v>2103.63</v>
      </c>
      <c r="I77" s="3">
        <v>1121933336</v>
      </c>
      <c r="J77" s="7">
        <f t="shared" si="5"/>
        <v>25.236312833371695</v>
      </c>
      <c r="K77" s="19">
        <f t="shared" si="4"/>
        <v>7.7586206896551726</v>
      </c>
    </row>
    <row r="78" spans="1:11" ht="15" customHeight="1" x14ac:dyDescent="0.2">
      <c r="A78" t="s">
        <v>9</v>
      </c>
      <c r="B78" s="9" t="s">
        <v>187</v>
      </c>
      <c r="C78" s="7">
        <v>1.895</v>
      </c>
      <c r="D78" s="7">
        <v>1.905</v>
      </c>
      <c r="E78" s="7">
        <v>1.825</v>
      </c>
      <c r="F78" s="7">
        <v>1.835</v>
      </c>
      <c r="G78" s="3">
        <v>4313971</v>
      </c>
      <c r="H78" s="3">
        <v>2058.75</v>
      </c>
      <c r="I78" s="3">
        <v>1121933336</v>
      </c>
      <c r="J78" s="7">
        <f t="shared" si="5"/>
        <v>24.697938159593097</v>
      </c>
      <c r="K78" s="19">
        <f t="shared" si="4"/>
        <v>5.4597701149425273</v>
      </c>
    </row>
    <row r="79" spans="1:11" ht="15" customHeight="1" x14ac:dyDescent="0.2">
      <c r="A79" t="s">
        <v>9</v>
      </c>
      <c r="B79" s="9" t="s">
        <v>186</v>
      </c>
      <c r="C79" s="7">
        <v>1.77</v>
      </c>
      <c r="D79" s="7">
        <v>1.7849999999999999</v>
      </c>
      <c r="E79" s="7">
        <v>1.72</v>
      </c>
      <c r="F79" s="7">
        <v>1.7450000000000001</v>
      </c>
      <c r="G79" s="3">
        <v>5172175</v>
      </c>
      <c r="H79" s="3">
        <v>1957.77</v>
      </c>
      <c r="I79" s="3">
        <v>1121933336</v>
      </c>
      <c r="J79" s="7">
        <f t="shared" si="5"/>
        <v>23.486595143591259</v>
      </c>
      <c r="K79" s="19">
        <f t="shared" si="4"/>
        <v>0.2873563218390871</v>
      </c>
    </row>
    <row r="80" spans="1:11" ht="15" customHeight="1" x14ac:dyDescent="0.2">
      <c r="A80" t="s">
        <v>9</v>
      </c>
      <c r="B80" s="9" t="s">
        <v>185</v>
      </c>
      <c r="C80" s="7">
        <v>1.77</v>
      </c>
      <c r="D80" s="7">
        <v>1.792</v>
      </c>
      <c r="E80" s="7">
        <v>1.7549999999999999</v>
      </c>
      <c r="F80" s="7">
        <v>1.7649999999999999</v>
      </c>
      <c r="G80" s="3">
        <v>2382639</v>
      </c>
      <c r="H80" s="3">
        <v>1980.21</v>
      </c>
      <c r="I80" s="3">
        <v>1121933336</v>
      </c>
      <c r="J80" s="7">
        <f t="shared" si="5"/>
        <v>23.755782480480555</v>
      </c>
      <c r="K80" s="19">
        <f t="shared" si="4"/>
        <v>1.4367816091953973</v>
      </c>
    </row>
    <row r="81" spans="1:11" ht="15" customHeight="1" x14ac:dyDescent="0.2">
      <c r="A81" t="s">
        <v>9</v>
      </c>
      <c r="B81" s="9" t="s">
        <v>184</v>
      </c>
      <c r="C81" s="7">
        <v>1.77</v>
      </c>
      <c r="D81" s="7">
        <v>1.8</v>
      </c>
      <c r="E81" s="7">
        <v>1.74</v>
      </c>
      <c r="F81" s="7">
        <v>1.7549999999999999</v>
      </c>
      <c r="G81" s="3">
        <v>2759603</v>
      </c>
      <c r="H81" s="3">
        <v>1968.99</v>
      </c>
      <c r="I81" s="3">
        <v>1121933336</v>
      </c>
      <c r="J81" s="7">
        <f t="shared" si="5"/>
        <v>23.621188812035903</v>
      </c>
      <c r="K81" s="19">
        <f t="shared" si="4"/>
        <v>0.86206896551723577</v>
      </c>
    </row>
    <row r="82" spans="1:11" ht="15" customHeight="1" x14ac:dyDescent="0.2">
      <c r="A82" t="s">
        <v>9</v>
      </c>
      <c r="B82" s="9" t="s">
        <v>183</v>
      </c>
      <c r="C82" s="7">
        <v>1.7649999999999999</v>
      </c>
      <c r="D82" s="7">
        <v>1.79</v>
      </c>
      <c r="E82" s="7">
        <v>1.7450000000000001</v>
      </c>
      <c r="F82" s="7">
        <v>1.77</v>
      </c>
      <c r="G82" s="3">
        <v>4001107</v>
      </c>
      <c r="H82" s="3">
        <v>1985.82</v>
      </c>
      <c r="I82" s="3">
        <v>1121933336</v>
      </c>
      <c r="J82" s="7">
        <f t="shared" si="5"/>
        <v>23.823079314702881</v>
      </c>
      <c r="K82" s="19">
        <f t="shared" si="4"/>
        <v>1.7241379310344844</v>
      </c>
    </row>
    <row r="83" spans="1:11" ht="15" customHeight="1" x14ac:dyDescent="0.2">
      <c r="A83" t="s">
        <v>9</v>
      </c>
      <c r="B83" s="9" t="s">
        <v>182</v>
      </c>
      <c r="C83" s="7">
        <v>1.81</v>
      </c>
      <c r="D83" s="7">
        <v>1.825</v>
      </c>
      <c r="E83" s="7">
        <v>1.76</v>
      </c>
      <c r="F83" s="7">
        <v>1.76</v>
      </c>
      <c r="G83" s="3">
        <v>3946963</v>
      </c>
      <c r="H83" s="3">
        <v>1974.6</v>
      </c>
      <c r="I83" s="3">
        <v>1121933336</v>
      </c>
      <c r="J83" s="7">
        <f t="shared" si="5"/>
        <v>23.688485646258229</v>
      </c>
      <c r="K83" s="19">
        <f t="shared" si="4"/>
        <v>1.1494252873563229</v>
      </c>
    </row>
    <row r="84" spans="1:11" ht="15" customHeight="1" x14ac:dyDescent="0.2">
      <c r="A84" t="s">
        <v>9</v>
      </c>
      <c r="B84" s="9" t="s">
        <v>181</v>
      </c>
      <c r="C84" s="7">
        <v>1.6950000000000001</v>
      </c>
      <c r="D84" s="7">
        <v>1.7050000000000001</v>
      </c>
      <c r="E84" s="7">
        <v>1.665</v>
      </c>
      <c r="F84" s="7">
        <v>1.68</v>
      </c>
      <c r="G84" s="3">
        <v>3486357</v>
      </c>
      <c r="H84" s="3">
        <v>1884.85</v>
      </c>
      <c r="I84" s="3">
        <v>1121933336</v>
      </c>
      <c r="J84" s="7">
        <f t="shared" si="5"/>
        <v>22.611736298701036</v>
      </c>
      <c r="K84" s="19">
        <f t="shared" si="4"/>
        <v>-3.4482758620689689</v>
      </c>
    </row>
    <row r="85" spans="1:11" ht="15" customHeight="1" x14ac:dyDescent="0.2">
      <c r="A85" t="s">
        <v>9</v>
      </c>
      <c r="B85" s="9" t="s">
        <v>180</v>
      </c>
      <c r="C85" s="7">
        <v>1.7</v>
      </c>
      <c r="D85" s="7">
        <v>1.738</v>
      </c>
      <c r="E85" s="7">
        <v>1.7</v>
      </c>
      <c r="F85" s="7">
        <v>1.7</v>
      </c>
      <c r="G85" s="3">
        <v>2215962</v>
      </c>
      <c r="H85" s="3">
        <v>1907.29</v>
      </c>
      <c r="I85" s="3">
        <v>1121933336</v>
      </c>
      <c r="J85" s="7">
        <f t="shared" si="5"/>
        <v>22.880923635590335</v>
      </c>
      <c r="K85" s="19">
        <f t="shared" si="4"/>
        <v>-2.2988505747126458</v>
      </c>
    </row>
    <row r="86" spans="1:11" ht="15" customHeight="1" x14ac:dyDescent="0.2">
      <c r="A86" t="s">
        <v>9</v>
      </c>
      <c r="B86" s="9" t="s">
        <v>179</v>
      </c>
      <c r="C86" s="7">
        <v>1.7050000000000001</v>
      </c>
      <c r="D86" s="7">
        <v>1.7150000000000001</v>
      </c>
      <c r="E86" s="7">
        <v>1.67</v>
      </c>
      <c r="F86" s="7">
        <v>1.7</v>
      </c>
      <c r="G86" s="3">
        <v>4069173</v>
      </c>
      <c r="H86" s="3">
        <v>1907.29</v>
      </c>
      <c r="I86" s="3">
        <v>1121933336</v>
      </c>
      <c r="J86" s="7">
        <f t="shared" si="5"/>
        <v>22.880923635590335</v>
      </c>
      <c r="K86" s="19">
        <f t="shared" si="4"/>
        <v>-2.2988505747126458</v>
      </c>
    </row>
    <row r="87" spans="1:11" ht="15" customHeight="1" x14ac:dyDescent="0.2">
      <c r="A87" t="s">
        <v>9</v>
      </c>
      <c r="B87" s="9" t="s">
        <v>178</v>
      </c>
      <c r="C87" s="7">
        <v>1.7</v>
      </c>
      <c r="D87" s="7">
        <v>1.74</v>
      </c>
      <c r="E87" s="7">
        <v>1.7</v>
      </c>
      <c r="F87" s="7">
        <v>1.71</v>
      </c>
      <c r="G87" s="3">
        <v>2282699</v>
      </c>
      <c r="H87" s="3">
        <v>1918.51</v>
      </c>
      <c r="I87" s="3">
        <v>1121933336</v>
      </c>
      <c r="J87" s="7">
        <f t="shared" si="5"/>
        <v>23.015517304034987</v>
      </c>
      <c r="K87" s="19">
        <f t="shared" si="4"/>
        <v>-1.7241379310344844</v>
      </c>
    </row>
    <row r="88" spans="1:11" ht="15" customHeight="1" x14ac:dyDescent="0.2">
      <c r="A88" t="s">
        <v>9</v>
      </c>
      <c r="B88" s="9" t="s">
        <v>177</v>
      </c>
      <c r="C88" s="7">
        <v>1.7450000000000001</v>
      </c>
      <c r="D88" s="7">
        <v>1.7949999999999999</v>
      </c>
      <c r="E88" s="7">
        <v>1.7350000000000001</v>
      </c>
      <c r="F88" s="7">
        <v>1.79</v>
      </c>
      <c r="G88" s="3">
        <v>2665038</v>
      </c>
      <c r="H88" s="3">
        <v>2008.26</v>
      </c>
      <c r="I88" s="3">
        <v>1121933336</v>
      </c>
      <c r="J88" s="7">
        <f t="shared" si="5"/>
        <v>24.09226665159218</v>
      </c>
      <c r="K88" s="19">
        <f t="shared" si="4"/>
        <v>2.8735632183908075</v>
      </c>
    </row>
    <row r="89" spans="1:11" ht="15" customHeight="1" x14ac:dyDescent="0.2">
      <c r="A89" t="s">
        <v>9</v>
      </c>
      <c r="B89" s="9" t="s">
        <v>176</v>
      </c>
      <c r="C89" s="7">
        <v>1.7949999999999999</v>
      </c>
      <c r="D89" s="7">
        <v>1.8049999999999999</v>
      </c>
      <c r="E89" s="7">
        <v>1.78</v>
      </c>
      <c r="F89" s="7">
        <v>1.7949999999999999</v>
      </c>
      <c r="G89" s="3">
        <v>2011304</v>
      </c>
      <c r="H89" s="3">
        <v>2013.87</v>
      </c>
      <c r="I89" s="3">
        <v>1121933336</v>
      </c>
      <c r="J89" s="7">
        <f t="shared" si="5"/>
        <v>24.159563485814502</v>
      </c>
      <c r="K89" s="19">
        <f t="shared" si="4"/>
        <v>3.1609195402298811</v>
      </c>
    </row>
    <row r="90" spans="1:11" ht="15" customHeight="1" x14ac:dyDescent="0.2">
      <c r="A90" t="s">
        <v>9</v>
      </c>
      <c r="B90" s="9" t="s">
        <v>175</v>
      </c>
      <c r="C90" s="7">
        <v>1.7849999999999999</v>
      </c>
      <c r="D90" s="7">
        <v>1.79</v>
      </c>
      <c r="E90" s="7">
        <v>1.7549999999999999</v>
      </c>
      <c r="F90" s="7">
        <v>1.77</v>
      </c>
      <c r="G90" s="3">
        <v>1992374</v>
      </c>
      <c r="H90" s="3">
        <v>1985.82</v>
      </c>
      <c r="I90" s="3">
        <v>1121933336</v>
      </c>
      <c r="J90" s="7">
        <f t="shared" si="5"/>
        <v>23.823079314702881</v>
      </c>
      <c r="K90" s="19">
        <f t="shared" si="4"/>
        <v>1.7241379310344844</v>
      </c>
    </row>
    <row r="91" spans="1:11" ht="15" customHeight="1" x14ac:dyDescent="0.2">
      <c r="A91" t="s">
        <v>9</v>
      </c>
      <c r="B91" s="9" t="s">
        <v>174</v>
      </c>
      <c r="C91" s="7">
        <v>1.82</v>
      </c>
      <c r="D91" s="7">
        <v>1.83</v>
      </c>
      <c r="E91" s="7">
        <v>1.7949999999999999</v>
      </c>
      <c r="F91" s="7">
        <v>1.8149999999999999</v>
      </c>
      <c r="G91" s="3">
        <v>8353759</v>
      </c>
      <c r="H91" s="3">
        <v>2036.31</v>
      </c>
      <c r="I91" s="3">
        <v>1121933336</v>
      </c>
      <c r="J91" s="7">
        <f t="shared" si="5"/>
        <v>24.428750822703801</v>
      </c>
      <c r="K91" s="19">
        <f t="shared" si="4"/>
        <v>4.3103448275862046</v>
      </c>
    </row>
    <row r="92" spans="1:11" ht="15" customHeight="1" x14ac:dyDescent="0.2">
      <c r="A92" t="s">
        <v>9</v>
      </c>
      <c r="B92" s="9" t="s">
        <v>173</v>
      </c>
      <c r="C92" s="7">
        <v>1.82</v>
      </c>
      <c r="D92" s="7">
        <v>1.83</v>
      </c>
      <c r="E92" s="7">
        <v>1.7949999999999999</v>
      </c>
      <c r="F92" s="7">
        <v>1.825</v>
      </c>
      <c r="G92" s="3">
        <v>1826156</v>
      </c>
      <c r="H92" s="3">
        <v>2047.53</v>
      </c>
      <c r="I92" s="3">
        <v>1121933336</v>
      </c>
      <c r="J92" s="7">
        <f t="shared" si="5"/>
        <v>24.563344491148449</v>
      </c>
      <c r="K92" s="19">
        <f t="shared" si="4"/>
        <v>4.885057471264366</v>
      </c>
    </row>
    <row r="93" spans="1:11" ht="15" customHeight="1" x14ac:dyDescent="0.2">
      <c r="A93" t="s">
        <v>9</v>
      </c>
      <c r="B93" s="9" t="s">
        <v>172</v>
      </c>
      <c r="C93" s="7">
        <v>1.82</v>
      </c>
      <c r="D93" s="7">
        <v>1.855</v>
      </c>
      <c r="E93" s="7">
        <v>1.78</v>
      </c>
      <c r="F93" s="7">
        <v>1.845</v>
      </c>
      <c r="G93" s="3">
        <v>2863841</v>
      </c>
      <c r="H93" s="3">
        <v>2069.9699999999998</v>
      </c>
      <c r="I93" s="3">
        <v>1121933336</v>
      </c>
      <c r="J93" s="7">
        <f t="shared" si="5"/>
        <v>24.832531828037748</v>
      </c>
      <c r="K93" s="19">
        <f t="shared" si="4"/>
        <v>6.0344827586206886</v>
      </c>
    </row>
    <row r="94" spans="1:11" ht="15" customHeight="1" x14ac:dyDescent="0.2">
      <c r="A94" t="s">
        <v>9</v>
      </c>
      <c r="B94" s="9" t="s">
        <v>171</v>
      </c>
      <c r="C94" s="7">
        <v>1.87</v>
      </c>
      <c r="D94" s="7">
        <v>1.87</v>
      </c>
      <c r="E94" s="7">
        <v>1.8149999999999999</v>
      </c>
      <c r="F94" s="7">
        <v>1.8149999999999999</v>
      </c>
      <c r="G94" s="3">
        <v>1792463</v>
      </c>
      <c r="H94" s="3">
        <v>2036.31</v>
      </c>
      <c r="I94" s="3">
        <v>1121933336</v>
      </c>
      <c r="J94" s="7">
        <f t="shared" si="5"/>
        <v>24.428750822703801</v>
      </c>
      <c r="K94" s="19">
        <f t="shared" si="4"/>
        <v>4.3103448275862046</v>
      </c>
    </row>
    <row r="95" spans="1:11" ht="15" customHeight="1" x14ac:dyDescent="0.2">
      <c r="A95" t="s">
        <v>9</v>
      </c>
      <c r="B95" s="9" t="s">
        <v>170</v>
      </c>
      <c r="C95" s="7">
        <v>1.85</v>
      </c>
      <c r="D95" s="7">
        <v>1.89</v>
      </c>
      <c r="E95" s="7">
        <v>1.845</v>
      </c>
      <c r="F95" s="7">
        <v>1.875</v>
      </c>
      <c r="G95" s="3">
        <v>2368807</v>
      </c>
      <c r="H95" s="3">
        <v>2103.63</v>
      </c>
      <c r="I95" s="3">
        <v>1121933336</v>
      </c>
      <c r="J95" s="7">
        <f t="shared" si="5"/>
        <v>25.236312833371695</v>
      </c>
      <c r="K95" s="19">
        <f t="shared" si="4"/>
        <v>7.7586206896551726</v>
      </c>
    </row>
    <row r="96" spans="1:11" ht="15" customHeight="1" x14ac:dyDescent="0.2">
      <c r="A96" t="s">
        <v>9</v>
      </c>
      <c r="B96" s="9" t="s">
        <v>169</v>
      </c>
      <c r="C96" s="7">
        <v>1.855</v>
      </c>
      <c r="D96" s="7">
        <v>1.875</v>
      </c>
      <c r="E96" s="7">
        <v>1.84</v>
      </c>
      <c r="F96" s="7">
        <v>1.87</v>
      </c>
      <c r="G96" s="3">
        <v>1317083</v>
      </c>
      <c r="H96" s="3">
        <v>2098.02</v>
      </c>
      <c r="I96" s="3">
        <v>1121933336</v>
      </c>
      <c r="J96" s="7">
        <f t="shared" si="5"/>
        <v>25.169015999149373</v>
      </c>
      <c r="K96" s="19">
        <f t="shared" si="4"/>
        <v>7.4712643678160982</v>
      </c>
    </row>
    <row r="97" spans="1:11" ht="15" customHeight="1" x14ac:dyDescent="0.2">
      <c r="A97" t="s">
        <v>9</v>
      </c>
      <c r="B97" s="9" t="s">
        <v>168</v>
      </c>
      <c r="C97" s="7">
        <v>1.9</v>
      </c>
      <c r="D97" s="7">
        <v>1.94</v>
      </c>
      <c r="E97" s="7">
        <v>1.9</v>
      </c>
      <c r="F97" s="7">
        <v>1.915</v>
      </c>
      <c r="G97" s="3">
        <v>3156044</v>
      </c>
      <c r="H97" s="3">
        <v>2148.5</v>
      </c>
      <c r="I97" s="3">
        <v>1121933336</v>
      </c>
      <c r="J97" s="7">
        <f t="shared" si="5"/>
        <v>25.77468750715029</v>
      </c>
      <c r="K97" s="19">
        <f t="shared" si="4"/>
        <v>10.05747126436782</v>
      </c>
    </row>
    <row r="98" spans="1:11" ht="15" customHeight="1" x14ac:dyDescent="0.2">
      <c r="A98" t="s">
        <v>9</v>
      </c>
      <c r="B98" s="9" t="s">
        <v>167</v>
      </c>
      <c r="C98" s="7">
        <v>1.915</v>
      </c>
      <c r="D98" s="7">
        <v>1.94</v>
      </c>
      <c r="E98" s="7">
        <v>1.915</v>
      </c>
      <c r="F98" s="7">
        <v>1.92</v>
      </c>
      <c r="G98" s="3">
        <v>6748817</v>
      </c>
      <c r="H98" s="3">
        <v>2154.11</v>
      </c>
      <c r="I98" s="3">
        <v>1121933336</v>
      </c>
      <c r="J98" s="7">
        <f t="shared" si="5"/>
        <v>25.841984341372616</v>
      </c>
      <c r="K98" s="19">
        <f t="shared" si="4"/>
        <v>10.344827586206893</v>
      </c>
    </row>
    <row r="99" spans="1:11" ht="15" customHeight="1" x14ac:dyDescent="0.2">
      <c r="A99" t="s">
        <v>9</v>
      </c>
      <c r="B99" s="9" t="s">
        <v>166</v>
      </c>
      <c r="C99" s="7">
        <v>1.92</v>
      </c>
      <c r="D99" s="7">
        <v>1.925</v>
      </c>
      <c r="E99" s="7">
        <v>1.883</v>
      </c>
      <c r="F99" s="7">
        <v>1.89</v>
      </c>
      <c r="G99" s="3">
        <v>3186945</v>
      </c>
      <c r="H99" s="3">
        <v>2120.4499999999998</v>
      </c>
      <c r="I99" s="3">
        <v>1121933336</v>
      </c>
      <c r="J99" s="7">
        <f t="shared" si="5"/>
        <v>25.438203336038665</v>
      </c>
      <c r="K99" s="19">
        <f t="shared" si="4"/>
        <v>8.6206896551724093</v>
      </c>
    </row>
    <row r="100" spans="1:11" ht="15" customHeight="1" x14ac:dyDescent="0.2">
      <c r="A100" t="s">
        <v>9</v>
      </c>
      <c r="B100" s="9" t="s">
        <v>165</v>
      </c>
      <c r="C100" s="7">
        <v>1.845</v>
      </c>
      <c r="D100" s="7">
        <v>1.845</v>
      </c>
      <c r="E100" s="7">
        <v>1.79</v>
      </c>
      <c r="F100" s="7">
        <v>1.79</v>
      </c>
      <c r="G100" s="3">
        <v>3258518</v>
      </c>
      <c r="H100" s="3">
        <v>2008.26</v>
      </c>
      <c r="I100" s="3">
        <v>1121933336</v>
      </c>
      <c r="J100" s="7">
        <f t="shared" si="5"/>
        <v>24.09226665159218</v>
      </c>
      <c r="K100" s="19">
        <f t="shared" si="4"/>
        <v>2.8735632183908075</v>
      </c>
    </row>
    <row r="101" spans="1:11" ht="15" customHeight="1" x14ac:dyDescent="0.2">
      <c r="A101" t="s">
        <v>9</v>
      </c>
      <c r="B101" s="9" t="s">
        <v>164</v>
      </c>
      <c r="C101" s="7">
        <v>1.77</v>
      </c>
      <c r="D101" s="7">
        <v>1.79</v>
      </c>
      <c r="E101" s="7">
        <v>1.7549999999999999</v>
      </c>
      <c r="F101" s="7">
        <v>1.78</v>
      </c>
      <c r="G101" s="3">
        <v>2876146</v>
      </c>
      <c r="H101" s="3">
        <v>1997.04</v>
      </c>
      <c r="I101" s="3">
        <v>1121933336</v>
      </c>
      <c r="J101" s="7">
        <f t="shared" si="5"/>
        <v>23.957672983147528</v>
      </c>
      <c r="K101" s="19">
        <f t="shared" si="4"/>
        <v>2.2988505747126458</v>
      </c>
    </row>
    <row r="102" spans="1:11" ht="15" customHeight="1" x14ac:dyDescent="0.2">
      <c r="A102" t="s">
        <v>9</v>
      </c>
      <c r="B102" s="9" t="s">
        <v>163</v>
      </c>
      <c r="C102" s="7">
        <v>1.8</v>
      </c>
      <c r="D102" s="7">
        <v>1.855</v>
      </c>
      <c r="E102" s="7">
        <v>1.7949999999999999</v>
      </c>
      <c r="F102" s="7">
        <v>1.855</v>
      </c>
      <c r="G102" s="3">
        <v>2156957</v>
      </c>
      <c r="H102" s="3">
        <v>2081.19</v>
      </c>
      <c r="I102" s="3">
        <v>1121933336</v>
      </c>
      <c r="J102" s="7">
        <f t="shared" si="5"/>
        <v>24.967125496482396</v>
      </c>
      <c r="K102" s="19">
        <f t="shared" si="4"/>
        <v>6.6091954022988491</v>
      </c>
    </row>
    <row r="103" spans="1:11" ht="15" customHeight="1" x14ac:dyDescent="0.2">
      <c r="A103" t="s">
        <v>9</v>
      </c>
      <c r="B103" s="9" t="s">
        <v>162</v>
      </c>
      <c r="C103" s="7">
        <v>1.88</v>
      </c>
      <c r="D103" s="7">
        <v>1.88</v>
      </c>
      <c r="E103" s="7">
        <v>1.835</v>
      </c>
      <c r="F103" s="7">
        <v>1.85</v>
      </c>
      <c r="G103" s="3">
        <v>2308291</v>
      </c>
      <c r="H103" s="3">
        <v>2075.58</v>
      </c>
      <c r="I103" s="3">
        <v>1121933336</v>
      </c>
      <c r="J103" s="7">
        <f t="shared" si="5"/>
        <v>24.899828662260074</v>
      </c>
      <c r="K103" s="19">
        <f t="shared" si="4"/>
        <v>6.3218390804597764</v>
      </c>
    </row>
    <row r="104" spans="1:11" ht="15" customHeight="1" x14ac:dyDescent="0.2">
      <c r="A104" t="s">
        <v>9</v>
      </c>
      <c r="B104" s="9" t="s">
        <v>161</v>
      </c>
      <c r="C104" s="7">
        <v>1.84</v>
      </c>
      <c r="D104" s="7">
        <v>1.9450000000000001</v>
      </c>
      <c r="E104" s="7">
        <v>1.84</v>
      </c>
      <c r="F104" s="7">
        <v>1.91</v>
      </c>
      <c r="G104" s="3">
        <v>5757148</v>
      </c>
      <c r="H104" s="3">
        <v>2142.89</v>
      </c>
      <c r="I104" s="3">
        <v>1121933336</v>
      </c>
      <c r="J104" s="7">
        <f t="shared" si="5"/>
        <v>25.707390672927964</v>
      </c>
      <c r="K104" s="19">
        <f t="shared" si="4"/>
        <v>9.7701149425287319</v>
      </c>
    </row>
    <row r="105" spans="1:11" ht="15" customHeight="1" x14ac:dyDescent="0.2">
      <c r="A105" t="s">
        <v>9</v>
      </c>
      <c r="B105" s="9" t="s">
        <v>160</v>
      </c>
      <c r="C105" s="7">
        <v>1.9</v>
      </c>
      <c r="D105" s="7">
        <v>1.915</v>
      </c>
      <c r="E105" s="7">
        <v>1.75</v>
      </c>
      <c r="F105" s="7">
        <v>1.8</v>
      </c>
      <c r="G105" s="3">
        <v>9753173</v>
      </c>
      <c r="H105" s="3">
        <v>2019.48</v>
      </c>
      <c r="I105" s="3">
        <v>1121933336</v>
      </c>
      <c r="J105" s="7">
        <f t="shared" si="5"/>
        <v>24.226860320036828</v>
      </c>
      <c r="K105" s="19">
        <f t="shared" si="4"/>
        <v>3.4482758620689689</v>
      </c>
    </row>
    <row r="106" spans="1:11" ht="15" customHeight="1" x14ac:dyDescent="0.2">
      <c r="A106" t="s">
        <v>9</v>
      </c>
      <c r="B106" s="9" t="s">
        <v>159</v>
      </c>
      <c r="C106" s="7">
        <v>1.82</v>
      </c>
      <c r="D106" s="7">
        <v>1.875</v>
      </c>
      <c r="E106" s="7">
        <v>1.8</v>
      </c>
      <c r="F106" s="7">
        <v>1.875</v>
      </c>
      <c r="G106" s="3">
        <v>7324115</v>
      </c>
      <c r="H106" s="3">
        <v>2103.63</v>
      </c>
      <c r="I106" s="3">
        <v>1121933336</v>
      </c>
      <c r="J106" s="7">
        <f t="shared" si="5"/>
        <v>25.236312833371695</v>
      </c>
      <c r="K106" s="19">
        <f t="shared" si="4"/>
        <v>7.7586206896551726</v>
      </c>
    </row>
    <row r="107" spans="1:11" ht="15" customHeight="1" x14ac:dyDescent="0.2">
      <c r="A107" t="s">
        <v>9</v>
      </c>
      <c r="B107" s="9" t="s">
        <v>158</v>
      </c>
      <c r="C107" s="7">
        <v>1.85</v>
      </c>
      <c r="D107" s="7">
        <v>1.88</v>
      </c>
      <c r="E107" s="7">
        <v>1.8149999999999999</v>
      </c>
      <c r="F107" s="7">
        <v>1.8149999999999999</v>
      </c>
      <c r="G107" s="3">
        <v>3799600</v>
      </c>
      <c r="H107" s="3">
        <v>2036.31</v>
      </c>
      <c r="I107" s="3">
        <v>1121933336</v>
      </c>
      <c r="J107" s="7">
        <f t="shared" si="5"/>
        <v>24.428750822703801</v>
      </c>
      <c r="K107" s="19">
        <f t="shared" si="4"/>
        <v>4.3103448275862046</v>
      </c>
    </row>
    <row r="108" spans="1:11" ht="15" customHeight="1" x14ac:dyDescent="0.2">
      <c r="A108" t="s">
        <v>9</v>
      </c>
      <c r="B108" s="9" t="s">
        <v>157</v>
      </c>
      <c r="C108" s="7">
        <v>1.84</v>
      </c>
      <c r="D108" s="7">
        <v>1.867</v>
      </c>
      <c r="E108" s="7">
        <v>1.8169999999999999</v>
      </c>
      <c r="F108" s="7">
        <v>1.82</v>
      </c>
      <c r="G108" s="3">
        <v>2382779</v>
      </c>
      <c r="H108" s="3">
        <v>2041.92</v>
      </c>
      <c r="I108" s="3">
        <v>1121933336</v>
      </c>
      <c r="J108" s="7">
        <f t="shared" si="5"/>
        <v>24.496047656926127</v>
      </c>
      <c r="K108" s="19">
        <f t="shared" si="4"/>
        <v>4.5977011494252915</v>
      </c>
    </row>
    <row r="109" spans="1:11" ht="15" customHeight="1" x14ac:dyDescent="0.2">
      <c r="A109" t="s">
        <v>9</v>
      </c>
      <c r="B109" s="9" t="s">
        <v>156</v>
      </c>
      <c r="C109" s="7">
        <v>1.825</v>
      </c>
      <c r="D109" s="7">
        <v>1.835</v>
      </c>
      <c r="E109" s="7">
        <v>1.7749999999999999</v>
      </c>
      <c r="F109" s="7">
        <v>1.83</v>
      </c>
      <c r="G109" s="3">
        <v>3841896</v>
      </c>
      <c r="H109" s="3">
        <v>2053.14</v>
      </c>
      <c r="I109" s="3">
        <v>1121933336</v>
      </c>
      <c r="J109" s="7">
        <f t="shared" si="5"/>
        <v>24.630641325370775</v>
      </c>
      <c r="K109" s="19">
        <f t="shared" si="4"/>
        <v>5.1724137931034528</v>
      </c>
    </row>
    <row r="110" spans="1:11" ht="15" customHeight="1" x14ac:dyDescent="0.2">
      <c r="A110" t="s">
        <v>9</v>
      </c>
      <c r="B110" s="9" t="s">
        <v>155</v>
      </c>
      <c r="C110" s="7">
        <v>1.885</v>
      </c>
      <c r="D110" s="7">
        <v>1.96</v>
      </c>
      <c r="E110" s="7">
        <v>1.86</v>
      </c>
      <c r="F110" s="7">
        <v>1.92</v>
      </c>
      <c r="G110" s="3">
        <v>6904716</v>
      </c>
      <c r="H110" s="3">
        <v>2154.11</v>
      </c>
      <c r="I110" s="3">
        <v>1121933336</v>
      </c>
      <c r="J110" s="7">
        <f t="shared" si="5"/>
        <v>25.841984341372616</v>
      </c>
      <c r="K110" s="19">
        <f t="shared" si="4"/>
        <v>10.344827586206893</v>
      </c>
    </row>
    <row r="111" spans="1:11" ht="15" customHeight="1" x14ac:dyDescent="0.2">
      <c r="A111" t="s">
        <v>9</v>
      </c>
      <c r="B111" s="9" t="s">
        <v>154</v>
      </c>
      <c r="C111" s="7">
        <v>1.9650000000000001</v>
      </c>
      <c r="D111" s="7">
        <v>2</v>
      </c>
      <c r="E111" s="7">
        <v>1.96</v>
      </c>
      <c r="F111" s="7">
        <v>1.99</v>
      </c>
      <c r="G111" s="3">
        <v>6235545</v>
      </c>
      <c r="H111" s="3">
        <v>2232.65</v>
      </c>
      <c r="I111" s="3">
        <v>1121933336</v>
      </c>
      <c r="J111" s="7">
        <f t="shared" si="5"/>
        <v>26.784140020485157</v>
      </c>
      <c r="K111" s="19">
        <f t="shared" si="4"/>
        <v>14.367816091954023</v>
      </c>
    </row>
    <row r="112" spans="1:11" ht="15" customHeight="1" x14ac:dyDescent="0.2">
      <c r="A112" t="s">
        <v>9</v>
      </c>
      <c r="B112" s="9" t="s">
        <v>153</v>
      </c>
      <c r="C112" s="7">
        <v>1.87</v>
      </c>
      <c r="D112" s="7">
        <v>1.88</v>
      </c>
      <c r="E112" s="7">
        <v>1.802</v>
      </c>
      <c r="F112" s="7">
        <v>1.8149999999999999</v>
      </c>
      <c r="G112" s="3">
        <v>8483857</v>
      </c>
      <c r="H112" s="3">
        <v>2036.31</v>
      </c>
      <c r="I112" s="3">
        <v>1121933336</v>
      </c>
      <c r="J112" s="7">
        <f t="shared" si="5"/>
        <v>24.428750822703801</v>
      </c>
      <c r="K112" s="19">
        <f t="shared" si="4"/>
        <v>4.3103448275862046</v>
      </c>
    </row>
    <row r="113" spans="1:11" ht="15" customHeight="1" x14ac:dyDescent="0.2">
      <c r="A113" t="s">
        <v>9</v>
      </c>
      <c r="B113" s="9" t="s">
        <v>152</v>
      </c>
      <c r="C113" s="7">
        <v>1.85</v>
      </c>
      <c r="D113" s="7">
        <v>1.85</v>
      </c>
      <c r="E113" s="7">
        <v>1.78</v>
      </c>
      <c r="F113" s="7">
        <v>1.7949999999999999</v>
      </c>
      <c r="G113" s="3">
        <v>4729411</v>
      </c>
      <c r="H113" s="3">
        <v>2013.87</v>
      </c>
      <c r="I113" s="3">
        <v>1121933336</v>
      </c>
      <c r="J113" s="7">
        <f t="shared" si="5"/>
        <v>24.159563485814502</v>
      </c>
      <c r="K113" s="19">
        <f t="shared" si="4"/>
        <v>3.1609195402298811</v>
      </c>
    </row>
    <row r="114" spans="1:11" ht="15" customHeight="1" x14ac:dyDescent="0.2">
      <c r="A114" t="s">
        <v>9</v>
      </c>
      <c r="B114" s="9" t="s">
        <v>151</v>
      </c>
      <c r="C114" s="7">
        <v>1.825</v>
      </c>
      <c r="D114" s="7">
        <v>1.835</v>
      </c>
      <c r="E114" s="7">
        <v>1.77</v>
      </c>
      <c r="F114" s="7">
        <v>1.78</v>
      </c>
      <c r="G114" s="3">
        <v>2750460</v>
      </c>
      <c r="H114" s="3">
        <v>1997.04</v>
      </c>
      <c r="I114" s="3">
        <v>1121933336</v>
      </c>
      <c r="J114" s="7">
        <f t="shared" si="5"/>
        <v>23.957672983147528</v>
      </c>
      <c r="K114" s="19">
        <f t="shared" si="4"/>
        <v>2.2988505747126458</v>
      </c>
    </row>
    <row r="115" spans="1:11" ht="15" customHeight="1" x14ac:dyDescent="0.2">
      <c r="A115" t="s">
        <v>9</v>
      </c>
      <c r="B115" s="9" t="s">
        <v>150</v>
      </c>
      <c r="C115" s="7">
        <v>1.7649999999999999</v>
      </c>
      <c r="D115" s="7">
        <v>1.77</v>
      </c>
      <c r="E115" s="7">
        <v>1.7150000000000001</v>
      </c>
      <c r="F115" s="7">
        <v>1.7250000000000001</v>
      </c>
      <c r="G115" s="3">
        <v>3565483</v>
      </c>
      <c r="H115" s="3">
        <v>1935.34</v>
      </c>
      <c r="I115" s="3">
        <v>1121933336</v>
      </c>
      <c r="J115" s="7">
        <f t="shared" si="5"/>
        <v>23.21740780670196</v>
      </c>
      <c r="K115" s="19">
        <f t="shared" si="4"/>
        <v>-0.86206896551723577</v>
      </c>
    </row>
    <row r="116" spans="1:11" ht="15" customHeight="1" x14ac:dyDescent="0.2">
      <c r="A116" t="s">
        <v>9</v>
      </c>
      <c r="B116" s="9" t="s">
        <v>149</v>
      </c>
      <c r="C116" s="7">
        <v>1.74</v>
      </c>
      <c r="D116" s="7">
        <v>1.778</v>
      </c>
      <c r="E116" s="7">
        <v>1.73</v>
      </c>
      <c r="F116" s="7">
        <v>1.7649999999999999</v>
      </c>
      <c r="G116" s="3">
        <v>3862582</v>
      </c>
      <c r="H116" s="3">
        <v>1980.21</v>
      </c>
      <c r="I116" s="3">
        <v>1121933336</v>
      </c>
      <c r="J116" s="7">
        <f t="shared" si="5"/>
        <v>23.755782480480555</v>
      </c>
      <c r="K116" s="19">
        <f t="shared" si="4"/>
        <v>1.4367816091953973</v>
      </c>
    </row>
    <row r="117" spans="1:11" ht="15" customHeight="1" x14ac:dyDescent="0.2">
      <c r="A117" t="s">
        <v>9</v>
      </c>
      <c r="B117" s="9" t="s">
        <v>148</v>
      </c>
      <c r="C117" s="7">
        <v>1.78</v>
      </c>
      <c r="D117" s="7">
        <v>1.8</v>
      </c>
      <c r="E117" s="7">
        <v>1.75</v>
      </c>
      <c r="F117" s="7">
        <v>1.7649999999999999</v>
      </c>
      <c r="G117" s="3">
        <v>2538987</v>
      </c>
      <c r="H117" s="3">
        <v>1980.21</v>
      </c>
      <c r="I117" s="3">
        <v>1121933336</v>
      </c>
      <c r="J117" s="7">
        <f t="shared" si="5"/>
        <v>23.755782480480555</v>
      </c>
      <c r="K117" s="19">
        <f t="shared" si="4"/>
        <v>1.4367816091953973</v>
      </c>
    </row>
    <row r="118" spans="1:11" ht="15" customHeight="1" x14ac:dyDescent="0.2">
      <c r="A118" t="s">
        <v>9</v>
      </c>
      <c r="B118" s="9" t="s">
        <v>147</v>
      </c>
      <c r="C118" s="7">
        <v>1.8049999999999999</v>
      </c>
      <c r="D118" s="7">
        <v>1.825</v>
      </c>
      <c r="E118" s="7">
        <v>1.78</v>
      </c>
      <c r="F118" s="7">
        <v>1.81</v>
      </c>
      <c r="G118" s="3">
        <v>3256227</v>
      </c>
      <c r="H118" s="3">
        <v>2030.7</v>
      </c>
      <c r="I118" s="3">
        <v>1121933336</v>
      </c>
      <c r="J118" s="7">
        <f t="shared" si="5"/>
        <v>24.361453988481475</v>
      </c>
      <c r="K118" s="19">
        <f t="shared" si="4"/>
        <v>4.0229885057471302</v>
      </c>
    </row>
    <row r="119" spans="1:11" ht="15" customHeight="1" x14ac:dyDescent="0.2">
      <c r="A119" t="s">
        <v>9</v>
      </c>
      <c r="B119" s="9" t="s">
        <v>146</v>
      </c>
      <c r="C119" s="7">
        <v>1.81</v>
      </c>
      <c r="D119" s="7">
        <v>1.82</v>
      </c>
      <c r="E119" s="7">
        <v>1.7949999999999999</v>
      </c>
      <c r="F119" s="7">
        <v>1.81</v>
      </c>
      <c r="G119" s="3">
        <v>3285427</v>
      </c>
      <c r="H119" s="3">
        <v>2030.7</v>
      </c>
      <c r="I119" s="3">
        <v>1121933336</v>
      </c>
      <c r="J119" s="7">
        <f t="shared" si="5"/>
        <v>24.361453988481475</v>
      </c>
      <c r="K119" s="19">
        <f t="shared" si="4"/>
        <v>4.0229885057471302</v>
      </c>
    </row>
    <row r="120" spans="1:11" ht="15" customHeight="1" x14ac:dyDescent="0.2">
      <c r="A120" t="s">
        <v>9</v>
      </c>
      <c r="B120" s="9" t="s">
        <v>145</v>
      </c>
      <c r="C120" s="7">
        <v>1.875</v>
      </c>
      <c r="D120" s="7">
        <v>1.89</v>
      </c>
      <c r="E120" s="7">
        <v>1.843</v>
      </c>
      <c r="F120" s="7">
        <v>1.89</v>
      </c>
      <c r="G120" s="3">
        <v>13042771</v>
      </c>
      <c r="H120" s="3">
        <v>2120.4499999999998</v>
      </c>
      <c r="I120" s="3">
        <v>1121933336</v>
      </c>
      <c r="J120" s="7">
        <f t="shared" si="5"/>
        <v>25.438203336038665</v>
      </c>
      <c r="K120" s="19">
        <f t="shared" si="4"/>
        <v>8.6206896551724093</v>
      </c>
    </row>
    <row r="121" spans="1:11" ht="15" customHeight="1" x14ac:dyDescent="0.2">
      <c r="A121" t="s">
        <v>9</v>
      </c>
      <c r="B121" s="9" t="s">
        <v>144</v>
      </c>
      <c r="C121" s="7">
        <v>1.845</v>
      </c>
      <c r="D121" s="7">
        <v>1.855</v>
      </c>
      <c r="E121" s="7">
        <v>1.82</v>
      </c>
      <c r="F121" s="7">
        <v>1.83</v>
      </c>
      <c r="G121" s="3">
        <v>2328320</v>
      </c>
      <c r="H121" s="3">
        <v>2053.14</v>
      </c>
      <c r="I121" s="3">
        <v>1121933336</v>
      </c>
      <c r="J121" s="7">
        <f t="shared" si="5"/>
        <v>24.630641325370775</v>
      </c>
      <c r="K121" s="19">
        <f t="shared" si="4"/>
        <v>5.1724137931034528</v>
      </c>
    </row>
    <row r="122" spans="1:11" ht="15" customHeight="1" x14ac:dyDescent="0.2">
      <c r="A122" t="s">
        <v>9</v>
      </c>
      <c r="B122" s="9" t="s">
        <v>143</v>
      </c>
      <c r="C122" s="7">
        <v>1.855</v>
      </c>
      <c r="D122" s="7">
        <v>1.855</v>
      </c>
      <c r="E122" s="7">
        <v>1.8049999999999999</v>
      </c>
      <c r="F122" s="7">
        <v>1.83</v>
      </c>
      <c r="G122" s="3">
        <v>3358722</v>
      </c>
      <c r="H122" s="3">
        <v>2053.14</v>
      </c>
      <c r="I122" s="3">
        <v>1121933336</v>
      </c>
      <c r="J122" s="7">
        <f t="shared" si="5"/>
        <v>24.630641325370775</v>
      </c>
      <c r="K122" s="19">
        <f t="shared" si="4"/>
        <v>5.1724137931034528</v>
      </c>
    </row>
    <row r="123" spans="1:11" ht="15" customHeight="1" x14ac:dyDescent="0.2">
      <c r="A123" t="s">
        <v>9</v>
      </c>
      <c r="B123" s="9" t="s">
        <v>142</v>
      </c>
      <c r="C123" s="7">
        <v>1.8049999999999999</v>
      </c>
      <c r="D123" s="7">
        <v>1.8120000000000001</v>
      </c>
      <c r="E123" s="7">
        <v>1.742</v>
      </c>
      <c r="F123" s="7">
        <v>1.75</v>
      </c>
      <c r="G123" s="3">
        <v>3100073</v>
      </c>
      <c r="H123" s="3">
        <v>1963.38</v>
      </c>
      <c r="I123" s="3">
        <v>1121933336</v>
      </c>
      <c r="J123" s="7">
        <f t="shared" si="5"/>
        <v>23.553891977813581</v>
      </c>
      <c r="K123" s="19">
        <f t="shared" si="4"/>
        <v>0.57471264367816144</v>
      </c>
    </row>
    <row r="124" spans="1:11" ht="15" customHeight="1" x14ac:dyDescent="0.2">
      <c r="A124" t="s">
        <v>9</v>
      </c>
      <c r="B124" s="9" t="s">
        <v>141</v>
      </c>
      <c r="C124" s="7">
        <v>1.7250000000000001</v>
      </c>
      <c r="D124" s="7">
        <v>1.73</v>
      </c>
      <c r="E124" s="7">
        <v>1.68</v>
      </c>
      <c r="F124" s="7">
        <v>1.73</v>
      </c>
      <c r="G124" s="3">
        <v>2773540</v>
      </c>
      <c r="H124" s="3">
        <v>1940.94</v>
      </c>
      <c r="I124" s="3">
        <v>1121933336</v>
      </c>
      <c r="J124" s="7">
        <f t="shared" si="5"/>
        <v>23.284704640924282</v>
      </c>
      <c r="K124" s="19">
        <f t="shared" si="4"/>
        <v>-0.57471264367816144</v>
      </c>
    </row>
    <row r="125" spans="1:11" ht="15" customHeight="1" x14ac:dyDescent="0.2">
      <c r="A125" t="s">
        <v>9</v>
      </c>
      <c r="B125" s="9" t="s">
        <v>140</v>
      </c>
      <c r="C125" s="7">
        <v>1.74</v>
      </c>
      <c r="D125" s="7">
        <v>1.7749999999999999</v>
      </c>
      <c r="E125" s="7">
        <v>1.722</v>
      </c>
      <c r="F125" s="7">
        <v>1.7549999999999999</v>
      </c>
      <c r="G125" s="3">
        <v>3494963</v>
      </c>
      <c r="H125" s="3">
        <v>1968.99</v>
      </c>
      <c r="I125" s="3">
        <v>1121933336</v>
      </c>
      <c r="J125" s="7">
        <f t="shared" si="5"/>
        <v>23.621188812035903</v>
      </c>
      <c r="K125" s="19">
        <f t="shared" si="4"/>
        <v>0.86206896551723577</v>
      </c>
    </row>
    <row r="126" spans="1:11" ht="15" customHeight="1" x14ac:dyDescent="0.2">
      <c r="A126" t="s">
        <v>9</v>
      </c>
      <c r="B126" s="9" t="s">
        <v>139</v>
      </c>
      <c r="C126" s="7">
        <v>1.74</v>
      </c>
      <c r="D126" s="7">
        <v>1.7749999999999999</v>
      </c>
      <c r="E126" s="7">
        <v>1.72</v>
      </c>
      <c r="F126" s="7">
        <v>1.7649999999999999</v>
      </c>
      <c r="G126" s="3">
        <v>1655010</v>
      </c>
      <c r="H126" s="3">
        <v>1980.21</v>
      </c>
      <c r="I126" s="3">
        <v>1121933336</v>
      </c>
      <c r="J126" s="7">
        <f t="shared" si="5"/>
        <v>23.755782480480555</v>
      </c>
      <c r="K126" s="19">
        <f t="shared" si="4"/>
        <v>1.4367816091953973</v>
      </c>
    </row>
    <row r="127" spans="1:11" ht="15" customHeight="1" x14ac:dyDescent="0.2">
      <c r="A127" t="s">
        <v>9</v>
      </c>
      <c r="B127" s="9" t="s">
        <v>138</v>
      </c>
      <c r="C127" s="7">
        <v>1.7549999999999999</v>
      </c>
      <c r="D127" s="7">
        <v>1.7949999999999999</v>
      </c>
      <c r="E127" s="7">
        <v>1.75</v>
      </c>
      <c r="F127" s="7">
        <v>1.76</v>
      </c>
      <c r="G127" s="3">
        <v>1892724</v>
      </c>
      <c r="H127" s="3">
        <v>1974.6</v>
      </c>
      <c r="I127" s="3">
        <v>1121933336</v>
      </c>
      <c r="J127" s="7">
        <f t="shared" si="5"/>
        <v>23.688485646258229</v>
      </c>
      <c r="K127" s="19">
        <f t="shared" si="4"/>
        <v>1.1494252873563229</v>
      </c>
    </row>
    <row r="128" spans="1:11" ht="15" customHeight="1" x14ac:dyDescent="0.2">
      <c r="A128" t="s">
        <v>9</v>
      </c>
      <c r="B128" s="9" t="s">
        <v>137</v>
      </c>
      <c r="C128" s="7">
        <v>1.77</v>
      </c>
      <c r="D128" s="7">
        <v>1.8049999999999999</v>
      </c>
      <c r="E128" s="7">
        <v>1.7549999999999999</v>
      </c>
      <c r="F128" s="7">
        <v>1.7949999999999999</v>
      </c>
      <c r="G128" s="3">
        <v>1681875</v>
      </c>
      <c r="H128" s="3">
        <v>2013.87</v>
      </c>
      <c r="I128" s="3">
        <v>1121933336</v>
      </c>
      <c r="J128" s="7">
        <f t="shared" si="5"/>
        <v>24.159563485814502</v>
      </c>
      <c r="K128" s="19">
        <f t="shared" si="4"/>
        <v>3.1609195402298811</v>
      </c>
    </row>
    <row r="129" spans="1:11" ht="15" customHeight="1" x14ac:dyDescent="0.2">
      <c r="A129" t="s">
        <v>9</v>
      </c>
      <c r="B129" s="9" t="s">
        <v>136</v>
      </c>
      <c r="C129" s="7">
        <v>1.84</v>
      </c>
      <c r="D129" s="7">
        <v>1.875</v>
      </c>
      <c r="E129" s="7">
        <v>1.827</v>
      </c>
      <c r="F129" s="7">
        <v>1.865</v>
      </c>
      <c r="G129" s="3">
        <v>2501377</v>
      </c>
      <c r="H129" s="3">
        <v>2092.41</v>
      </c>
      <c r="I129" s="3">
        <v>1121933336</v>
      </c>
      <c r="J129" s="7">
        <f t="shared" si="5"/>
        <v>25.101719164927044</v>
      </c>
      <c r="K129" s="19">
        <f t="shared" si="4"/>
        <v>7.1839080459770113</v>
      </c>
    </row>
    <row r="130" spans="1:11" ht="15" customHeight="1" x14ac:dyDescent="0.2">
      <c r="A130" t="s">
        <v>9</v>
      </c>
      <c r="B130" s="9" t="s">
        <v>135</v>
      </c>
      <c r="C130" s="7">
        <v>1.865</v>
      </c>
      <c r="D130" s="7">
        <v>1.9</v>
      </c>
      <c r="E130" s="7">
        <v>1.845</v>
      </c>
      <c r="F130" s="7">
        <v>1.895</v>
      </c>
      <c r="G130" s="3">
        <v>2682541</v>
      </c>
      <c r="H130" s="3">
        <v>2126.06</v>
      </c>
      <c r="I130" s="3">
        <v>1121933336</v>
      </c>
      <c r="J130" s="7">
        <f t="shared" si="5"/>
        <v>25.505500170260994</v>
      </c>
      <c r="K130" s="19">
        <f t="shared" si="4"/>
        <v>8.9080459770114953</v>
      </c>
    </row>
    <row r="131" spans="1:11" ht="15" customHeight="1" x14ac:dyDescent="0.2">
      <c r="A131" t="s">
        <v>9</v>
      </c>
      <c r="B131" s="9" t="s">
        <v>134</v>
      </c>
      <c r="C131" s="7">
        <v>1.925</v>
      </c>
      <c r="D131" s="7">
        <v>1.93</v>
      </c>
      <c r="E131" s="7">
        <v>1.875</v>
      </c>
      <c r="F131" s="7">
        <v>1.88</v>
      </c>
      <c r="G131" s="3">
        <v>2879381</v>
      </c>
      <c r="H131" s="3">
        <v>2109.23</v>
      </c>
      <c r="I131" s="3">
        <v>1121933336</v>
      </c>
      <c r="J131" s="7">
        <f t="shared" si="5"/>
        <v>25.303609667594017</v>
      </c>
      <c r="K131" s="19">
        <f t="shared" si="4"/>
        <v>8.0459770114942479</v>
      </c>
    </row>
    <row r="132" spans="1:11" ht="15" customHeight="1" x14ac:dyDescent="0.2">
      <c r="A132" t="s">
        <v>9</v>
      </c>
      <c r="B132" s="9" t="s">
        <v>133</v>
      </c>
      <c r="C132" s="7">
        <v>1.87</v>
      </c>
      <c r="D132" s="7">
        <v>1.895</v>
      </c>
      <c r="E132" s="7">
        <v>1.855</v>
      </c>
      <c r="F132" s="7">
        <v>1.895</v>
      </c>
      <c r="G132" s="3">
        <v>2552478</v>
      </c>
      <c r="H132" s="3">
        <v>2126.06</v>
      </c>
      <c r="I132" s="3">
        <v>1121933336</v>
      </c>
      <c r="J132" s="7">
        <f t="shared" si="5"/>
        <v>25.505500170260994</v>
      </c>
      <c r="K132" s="19">
        <f t="shared" si="4"/>
        <v>8.9080459770114953</v>
      </c>
    </row>
    <row r="133" spans="1:11" ht="15" customHeight="1" x14ac:dyDescent="0.2">
      <c r="A133" t="s">
        <v>9</v>
      </c>
      <c r="B133" s="9" t="s">
        <v>132</v>
      </c>
      <c r="C133" s="7">
        <v>1.885</v>
      </c>
      <c r="D133" s="7">
        <v>1.903</v>
      </c>
      <c r="E133" s="7">
        <v>1.857</v>
      </c>
      <c r="F133" s="7">
        <v>1.88</v>
      </c>
      <c r="G133" s="3">
        <v>3093906</v>
      </c>
      <c r="H133" s="3">
        <v>2109.23</v>
      </c>
      <c r="I133" s="3">
        <v>1121933336</v>
      </c>
      <c r="J133" s="7">
        <f t="shared" si="5"/>
        <v>25.303609667594017</v>
      </c>
      <c r="K133" s="19">
        <f t="shared" ref="K133:K196" si="6">((F133-$F$2)/$F$2)*100</f>
        <v>8.0459770114942479</v>
      </c>
    </row>
    <row r="134" spans="1:11" ht="15" customHeight="1" x14ac:dyDescent="0.2">
      <c r="A134" t="s">
        <v>9</v>
      </c>
      <c r="B134" s="9" t="s">
        <v>131</v>
      </c>
      <c r="C134" s="7">
        <v>1.91</v>
      </c>
      <c r="D134" s="7">
        <v>1.97</v>
      </c>
      <c r="E134" s="7">
        <v>1.89</v>
      </c>
      <c r="F134" s="7">
        <v>1.9550000000000001</v>
      </c>
      <c r="G134" s="3">
        <v>5789308</v>
      </c>
      <c r="H134" s="3">
        <v>2193.38</v>
      </c>
      <c r="I134" s="3">
        <v>1121933336</v>
      </c>
      <c r="J134" s="7">
        <f t="shared" si="5"/>
        <v>26.313062180928888</v>
      </c>
      <c r="K134" s="19">
        <f t="shared" si="6"/>
        <v>12.356321839080465</v>
      </c>
    </row>
    <row r="135" spans="1:11" ht="15" customHeight="1" x14ac:dyDescent="0.2">
      <c r="A135" t="s">
        <v>9</v>
      </c>
      <c r="B135" s="9" t="s">
        <v>130</v>
      </c>
      <c r="C135" s="7">
        <v>1.99</v>
      </c>
      <c r="D135" s="7">
        <v>2.0699999999999998</v>
      </c>
      <c r="E135" s="7">
        <v>1.96</v>
      </c>
      <c r="F135" s="7">
        <v>2.0699999999999998</v>
      </c>
      <c r="G135" s="3">
        <v>9149174</v>
      </c>
      <c r="H135" s="3">
        <v>2322.4</v>
      </c>
      <c r="I135" s="3">
        <v>1121933336</v>
      </c>
      <c r="J135" s="7">
        <f t="shared" ref="J135:J198" si="7">F135/0.0742977</f>
        <v>27.860889368042347</v>
      </c>
      <c r="K135" s="19">
        <f t="shared" si="6"/>
        <v>18.965517241379303</v>
      </c>
    </row>
    <row r="136" spans="1:11" ht="15" customHeight="1" x14ac:dyDescent="0.2">
      <c r="A136" t="s">
        <v>9</v>
      </c>
      <c r="B136" s="9" t="s">
        <v>129</v>
      </c>
      <c r="C136" s="7">
        <v>2.09</v>
      </c>
      <c r="D136" s="7">
        <v>2.13</v>
      </c>
      <c r="E136" s="7">
        <v>2.0449999999999999</v>
      </c>
      <c r="F136" s="7">
        <v>2.12</v>
      </c>
      <c r="G136" s="3">
        <v>4126554</v>
      </c>
      <c r="H136" s="3">
        <v>2378.5</v>
      </c>
      <c r="I136" s="3">
        <v>1121933336</v>
      </c>
      <c r="J136" s="7">
        <f t="shared" si="7"/>
        <v>28.533857710265597</v>
      </c>
      <c r="K136" s="19">
        <f t="shared" si="6"/>
        <v>21.839080459770123</v>
      </c>
    </row>
    <row r="137" spans="1:11" ht="15" customHeight="1" x14ac:dyDescent="0.2">
      <c r="A137" t="s">
        <v>9</v>
      </c>
      <c r="B137" s="9" t="s">
        <v>128</v>
      </c>
      <c r="C137" s="7">
        <v>2.15</v>
      </c>
      <c r="D137" s="7">
        <v>2.1749999999999998</v>
      </c>
      <c r="E137" s="7">
        <v>2.13</v>
      </c>
      <c r="F137" s="7">
        <v>2.15</v>
      </c>
      <c r="G137" s="3">
        <v>7133509</v>
      </c>
      <c r="H137" s="3">
        <v>2412.29</v>
      </c>
      <c r="I137" s="3">
        <v>1121996411</v>
      </c>
      <c r="J137" s="7">
        <f t="shared" si="7"/>
        <v>28.93763871559954</v>
      </c>
      <c r="K137" s="19">
        <f t="shared" si="6"/>
        <v>23.563218390804593</v>
      </c>
    </row>
    <row r="138" spans="1:11" ht="15" customHeight="1" x14ac:dyDescent="0.2">
      <c r="A138" t="s">
        <v>9</v>
      </c>
      <c r="B138" s="9" t="s">
        <v>127</v>
      </c>
      <c r="C138" s="7">
        <v>2.19</v>
      </c>
      <c r="D138" s="7">
        <v>2.2400000000000002</v>
      </c>
      <c r="E138" s="7">
        <v>2.15</v>
      </c>
      <c r="F138" s="7">
        <v>2.16</v>
      </c>
      <c r="G138" s="3">
        <v>5296907</v>
      </c>
      <c r="H138" s="3">
        <v>2423.5100000000002</v>
      </c>
      <c r="I138" s="3">
        <v>1121996411</v>
      </c>
      <c r="J138" s="7">
        <f t="shared" si="7"/>
        <v>29.072232384044195</v>
      </c>
      <c r="K138" s="19">
        <f t="shared" si="6"/>
        <v>24.137931034482769</v>
      </c>
    </row>
    <row r="139" spans="1:11" ht="15" customHeight="1" x14ac:dyDescent="0.2">
      <c r="A139" t="s">
        <v>9</v>
      </c>
      <c r="B139" s="9" t="s">
        <v>126</v>
      </c>
      <c r="C139" s="7">
        <v>2.14</v>
      </c>
      <c r="D139" s="7">
        <v>2.17</v>
      </c>
      <c r="E139" s="7">
        <v>2.09</v>
      </c>
      <c r="F139" s="7">
        <v>2.15</v>
      </c>
      <c r="G139" s="3">
        <v>5001323</v>
      </c>
      <c r="H139" s="3">
        <v>2412.29</v>
      </c>
      <c r="I139" s="3">
        <v>1121996411</v>
      </c>
      <c r="J139" s="7">
        <f t="shared" si="7"/>
        <v>28.93763871559954</v>
      </c>
      <c r="K139" s="19">
        <f t="shared" si="6"/>
        <v>23.563218390804593</v>
      </c>
    </row>
    <row r="140" spans="1:11" ht="15" customHeight="1" x14ac:dyDescent="0.2">
      <c r="A140" t="s">
        <v>9</v>
      </c>
      <c r="B140" s="9" t="s">
        <v>125</v>
      </c>
      <c r="C140" s="7">
        <v>2.09</v>
      </c>
      <c r="D140" s="7">
        <v>2.16</v>
      </c>
      <c r="E140" s="7">
        <v>2.0499999999999998</v>
      </c>
      <c r="F140" s="7">
        <v>2.15</v>
      </c>
      <c r="G140" s="3">
        <v>6049375</v>
      </c>
      <c r="H140" s="3">
        <v>2412.29</v>
      </c>
      <c r="I140" s="3">
        <v>1121996411</v>
      </c>
      <c r="J140" s="7">
        <f t="shared" si="7"/>
        <v>28.93763871559954</v>
      </c>
      <c r="K140" s="19">
        <f t="shared" si="6"/>
        <v>23.563218390804593</v>
      </c>
    </row>
    <row r="141" spans="1:11" ht="15" customHeight="1" x14ac:dyDescent="0.2">
      <c r="A141" t="s">
        <v>9</v>
      </c>
      <c r="B141" s="9" t="s">
        <v>124</v>
      </c>
      <c r="C141" s="7">
        <v>2.15</v>
      </c>
      <c r="D141" s="7">
        <v>2.19</v>
      </c>
      <c r="E141" s="7">
        <v>2.15</v>
      </c>
      <c r="F141" s="7">
        <v>2.17</v>
      </c>
      <c r="G141" s="3">
        <v>3742862</v>
      </c>
      <c r="H141" s="3">
        <v>2434.73</v>
      </c>
      <c r="I141" s="3">
        <v>1121996411</v>
      </c>
      <c r="J141" s="7">
        <f t="shared" si="7"/>
        <v>29.206826052488839</v>
      </c>
      <c r="K141" s="19">
        <f t="shared" si="6"/>
        <v>24.712643678160916</v>
      </c>
    </row>
    <row r="142" spans="1:11" ht="15" customHeight="1" x14ac:dyDescent="0.2">
      <c r="A142" t="s">
        <v>9</v>
      </c>
      <c r="B142" s="9" t="s">
        <v>123</v>
      </c>
      <c r="C142" s="7">
        <v>2.19</v>
      </c>
      <c r="D142" s="7">
        <v>2.2050000000000001</v>
      </c>
      <c r="E142" s="7">
        <v>2.12</v>
      </c>
      <c r="F142" s="7">
        <v>2.12</v>
      </c>
      <c r="G142" s="3">
        <v>6346587</v>
      </c>
      <c r="H142" s="3">
        <v>2378.63</v>
      </c>
      <c r="I142" s="3">
        <v>1121996411</v>
      </c>
      <c r="J142" s="7">
        <f t="shared" si="7"/>
        <v>28.533857710265597</v>
      </c>
      <c r="K142" s="19">
        <f t="shared" si="6"/>
        <v>21.839080459770123</v>
      </c>
    </row>
    <row r="143" spans="1:11" ht="15" customHeight="1" x14ac:dyDescent="0.2">
      <c r="A143" t="s">
        <v>9</v>
      </c>
      <c r="B143" s="9" t="s">
        <v>122</v>
      </c>
      <c r="C143" s="7">
        <v>2.13</v>
      </c>
      <c r="D143" s="7">
        <v>2.1949999999999998</v>
      </c>
      <c r="E143" s="7">
        <v>2.1</v>
      </c>
      <c r="F143" s="7">
        <v>2.17</v>
      </c>
      <c r="G143" s="3">
        <v>5016393</v>
      </c>
      <c r="H143" s="3">
        <v>2434.73</v>
      </c>
      <c r="I143" s="3">
        <v>1121996411</v>
      </c>
      <c r="J143" s="7">
        <f t="shared" si="7"/>
        <v>29.206826052488839</v>
      </c>
      <c r="K143" s="19">
        <f t="shared" si="6"/>
        <v>24.712643678160916</v>
      </c>
    </row>
    <row r="144" spans="1:11" ht="15" customHeight="1" x14ac:dyDescent="0.2">
      <c r="A144" t="s">
        <v>9</v>
      </c>
      <c r="B144" s="9" t="s">
        <v>121</v>
      </c>
      <c r="C144" s="7">
        <v>2.11</v>
      </c>
      <c r="D144" s="7">
        <v>2.17</v>
      </c>
      <c r="E144" s="7">
        <v>2.09</v>
      </c>
      <c r="F144" s="7">
        <v>2.12</v>
      </c>
      <c r="G144" s="3">
        <v>5046672</v>
      </c>
      <c r="H144" s="3">
        <v>2378.63</v>
      </c>
      <c r="I144" s="3">
        <v>1121996411</v>
      </c>
      <c r="J144" s="7">
        <f t="shared" si="7"/>
        <v>28.533857710265597</v>
      </c>
      <c r="K144" s="19">
        <f t="shared" si="6"/>
        <v>21.839080459770123</v>
      </c>
    </row>
    <row r="145" spans="1:11" ht="15" customHeight="1" x14ac:dyDescent="0.2">
      <c r="A145" t="s">
        <v>9</v>
      </c>
      <c r="B145" s="9" t="s">
        <v>120</v>
      </c>
      <c r="C145" s="7">
        <v>2.12</v>
      </c>
      <c r="D145" s="7">
        <v>2.14</v>
      </c>
      <c r="E145" s="7">
        <v>2.0299999999999998</v>
      </c>
      <c r="F145" s="7">
        <v>2.0699999999999998</v>
      </c>
      <c r="G145" s="3">
        <v>4949173</v>
      </c>
      <c r="H145" s="3">
        <v>2322.5300000000002</v>
      </c>
      <c r="I145" s="3">
        <v>1121996411</v>
      </c>
      <c r="J145" s="7">
        <f t="shared" si="7"/>
        <v>27.860889368042347</v>
      </c>
      <c r="K145" s="19">
        <f t="shared" si="6"/>
        <v>18.965517241379303</v>
      </c>
    </row>
    <row r="146" spans="1:11" ht="15" customHeight="1" x14ac:dyDescent="0.2">
      <c r="A146" t="s">
        <v>9</v>
      </c>
      <c r="B146" s="9" t="s">
        <v>119</v>
      </c>
      <c r="C146" s="7">
        <v>2.11</v>
      </c>
      <c r="D146" s="7">
        <v>2.11</v>
      </c>
      <c r="E146" s="7">
        <v>2.0499999999999998</v>
      </c>
      <c r="F146" s="7">
        <v>2.06</v>
      </c>
      <c r="G146" s="3">
        <v>2166266</v>
      </c>
      <c r="H146" s="3">
        <v>2311.31</v>
      </c>
      <c r="I146" s="3">
        <v>1121996411</v>
      </c>
      <c r="J146" s="7">
        <f t="shared" si="7"/>
        <v>27.726295699597703</v>
      </c>
      <c r="K146" s="19">
        <f t="shared" si="6"/>
        <v>18.390804597701152</v>
      </c>
    </row>
    <row r="147" spans="1:11" ht="15" customHeight="1" x14ac:dyDescent="0.2">
      <c r="A147" t="s">
        <v>9</v>
      </c>
      <c r="B147" s="9" t="s">
        <v>118</v>
      </c>
      <c r="C147" s="7">
        <v>2.0299999999999998</v>
      </c>
      <c r="D147" s="7">
        <v>2.0499999999999998</v>
      </c>
      <c r="E147" s="7">
        <v>2</v>
      </c>
      <c r="F147" s="7">
        <v>2.02</v>
      </c>
      <c r="G147" s="3">
        <v>2073058</v>
      </c>
      <c r="H147" s="3">
        <v>2266.4299999999998</v>
      </c>
      <c r="I147" s="3">
        <v>1121996411</v>
      </c>
      <c r="J147" s="7">
        <f t="shared" si="7"/>
        <v>27.187921025819104</v>
      </c>
      <c r="K147" s="19">
        <f t="shared" si="6"/>
        <v>16.09195402298851</v>
      </c>
    </row>
    <row r="148" spans="1:11" ht="15" customHeight="1" x14ac:dyDescent="0.2">
      <c r="A148" t="s">
        <v>9</v>
      </c>
      <c r="B148" s="9" t="s">
        <v>117</v>
      </c>
      <c r="C148" s="7">
        <v>2.06</v>
      </c>
      <c r="D148" s="7">
        <v>2.11</v>
      </c>
      <c r="E148" s="7">
        <v>2.0299999999999998</v>
      </c>
      <c r="F148" s="7">
        <v>2.09</v>
      </c>
      <c r="G148" s="3">
        <v>3143619</v>
      </c>
      <c r="H148" s="3">
        <v>2344.9699999999998</v>
      </c>
      <c r="I148" s="3">
        <v>1121996411</v>
      </c>
      <c r="J148" s="7">
        <f t="shared" si="7"/>
        <v>28.130076704931646</v>
      </c>
      <c r="K148" s="19">
        <f t="shared" si="6"/>
        <v>20.114942528735625</v>
      </c>
    </row>
    <row r="149" spans="1:11" ht="15" customHeight="1" x14ac:dyDescent="0.2">
      <c r="A149" t="s">
        <v>9</v>
      </c>
      <c r="B149" s="9" t="s">
        <v>116</v>
      </c>
      <c r="C149" s="7">
        <v>2.12</v>
      </c>
      <c r="D149" s="7">
        <v>2.15</v>
      </c>
      <c r="E149" s="7">
        <v>2.08</v>
      </c>
      <c r="F149" s="7">
        <v>2.11</v>
      </c>
      <c r="G149" s="3">
        <v>2917871</v>
      </c>
      <c r="H149" s="3">
        <v>2367.41</v>
      </c>
      <c r="I149" s="3">
        <v>1121996411</v>
      </c>
      <c r="J149" s="7">
        <f t="shared" si="7"/>
        <v>28.399264041820945</v>
      </c>
      <c r="K149" s="19">
        <f t="shared" si="6"/>
        <v>21.264367816091948</v>
      </c>
    </row>
    <row r="150" spans="1:11" ht="15" customHeight="1" x14ac:dyDescent="0.2">
      <c r="A150" t="s">
        <v>9</v>
      </c>
      <c r="B150" s="9" t="s">
        <v>115</v>
      </c>
      <c r="C150" s="7">
        <v>2.0499999999999998</v>
      </c>
      <c r="D150" s="7">
        <v>2.15</v>
      </c>
      <c r="E150" s="7">
        <v>2.0299999999999998</v>
      </c>
      <c r="F150" s="7">
        <v>2.12</v>
      </c>
      <c r="G150" s="3">
        <v>4791445</v>
      </c>
      <c r="H150" s="3">
        <v>2378.63</v>
      </c>
      <c r="I150" s="3">
        <v>1121996411</v>
      </c>
      <c r="J150" s="7">
        <f t="shared" si="7"/>
        <v>28.533857710265597</v>
      </c>
      <c r="K150" s="19">
        <f t="shared" si="6"/>
        <v>21.839080459770123</v>
      </c>
    </row>
    <row r="151" spans="1:11" ht="15" customHeight="1" x14ac:dyDescent="0.2">
      <c r="A151" t="s">
        <v>9</v>
      </c>
      <c r="B151" s="9" t="s">
        <v>114</v>
      </c>
      <c r="C151" s="7">
        <v>2.0699999999999998</v>
      </c>
      <c r="D151" s="7">
        <v>2.11</v>
      </c>
      <c r="E151" s="7">
        <v>2.04</v>
      </c>
      <c r="F151" s="7">
        <v>2.08</v>
      </c>
      <c r="G151" s="3">
        <v>2720187</v>
      </c>
      <c r="H151" s="3">
        <v>2333.75</v>
      </c>
      <c r="I151" s="3">
        <v>1121996411</v>
      </c>
      <c r="J151" s="7">
        <f t="shared" si="7"/>
        <v>27.995483036487002</v>
      </c>
      <c r="K151" s="19">
        <f t="shared" si="6"/>
        <v>19.540229885057474</v>
      </c>
    </row>
    <row r="152" spans="1:11" ht="15" customHeight="1" x14ac:dyDescent="0.2">
      <c r="A152" t="s">
        <v>9</v>
      </c>
      <c r="B152" s="9" t="s">
        <v>113</v>
      </c>
      <c r="C152" s="7">
        <v>2.0299999999999998</v>
      </c>
      <c r="D152" s="7">
        <v>2.0499999999999998</v>
      </c>
      <c r="E152" s="7">
        <v>2</v>
      </c>
      <c r="F152" s="7">
        <v>2.02</v>
      </c>
      <c r="G152" s="3">
        <v>2921387</v>
      </c>
      <c r="H152" s="3">
        <v>2266.4299999999998</v>
      </c>
      <c r="I152" s="3">
        <v>1121996411</v>
      </c>
      <c r="J152" s="7">
        <f t="shared" si="7"/>
        <v>27.187921025819104</v>
      </c>
      <c r="K152" s="19">
        <f t="shared" si="6"/>
        <v>16.09195402298851</v>
      </c>
    </row>
    <row r="153" spans="1:11" ht="15" customHeight="1" x14ac:dyDescent="0.2">
      <c r="A153" t="s">
        <v>9</v>
      </c>
      <c r="B153" s="9" t="s">
        <v>112</v>
      </c>
      <c r="C153" s="7">
        <v>2.02</v>
      </c>
      <c r="D153" s="7">
        <v>2.04</v>
      </c>
      <c r="E153" s="7">
        <v>1.9750000000000001</v>
      </c>
      <c r="F153" s="7">
        <v>2.0299999999999998</v>
      </c>
      <c r="G153" s="3">
        <v>2981097</v>
      </c>
      <c r="H153" s="3">
        <v>2277.65</v>
      </c>
      <c r="I153" s="3">
        <v>1121996411</v>
      </c>
      <c r="J153" s="7">
        <f t="shared" si="7"/>
        <v>27.322514694263752</v>
      </c>
      <c r="K153" s="19">
        <f t="shared" si="6"/>
        <v>16.666666666666657</v>
      </c>
    </row>
    <row r="154" spans="1:11" ht="15" customHeight="1" x14ac:dyDescent="0.2">
      <c r="A154" t="s">
        <v>9</v>
      </c>
      <c r="B154" s="9" t="s">
        <v>111</v>
      </c>
      <c r="C154" s="7">
        <v>2.0099999999999998</v>
      </c>
      <c r="D154" s="7">
        <v>2.0099999999999998</v>
      </c>
      <c r="E154" s="7">
        <v>1.9650000000000001</v>
      </c>
      <c r="F154" s="7">
        <v>1.9850000000000001</v>
      </c>
      <c r="G154" s="3">
        <v>1753890</v>
      </c>
      <c r="H154" s="3">
        <v>2227.16</v>
      </c>
      <c r="I154" s="3">
        <v>1121996411</v>
      </c>
      <c r="J154" s="7">
        <f t="shared" si="7"/>
        <v>26.716843186262835</v>
      </c>
      <c r="K154" s="19">
        <f t="shared" si="6"/>
        <v>14.080459770114947</v>
      </c>
    </row>
    <row r="155" spans="1:11" ht="15" customHeight="1" x14ac:dyDescent="0.2">
      <c r="A155" t="s">
        <v>9</v>
      </c>
      <c r="B155" s="9" t="s">
        <v>110</v>
      </c>
      <c r="C155" s="7">
        <v>2.06</v>
      </c>
      <c r="D155" s="7">
        <v>2.085</v>
      </c>
      <c r="E155" s="7">
        <v>2.04</v>
      </c>
      <c r="F155" s="7">
        <v>2.06</v>
      </c>
      <c r="G155" s="3">
        <v>2330263</v>
      </c>
      <c r="H155" s="3">
        <v>2311.31</v>
      </c>
      <c r="I155" s="3">
        <v>1121996411</v>
      </c>
      <c r="J155" s="7">
        <f t="shared" si="7"/>
        <v>27.726295699597703</v>
      </c>
      <c r="K155" s="19">
        <f t="shared" si="6"/>
        <v>18.390804597701152</v>
      </c>
    </row>
    <row r="156" spans="1:11" ht="15" customHeight="1" x14ac:dyDescent="0.2">
      <c r="A156" t="s">
        <v>9</v>
      </c>
      <c r="B156" s="9" t="s">
        <v>109</v>
      </c>
      <c r="C156" s="7">
        <v>2.08</v>
      </c>
      <c r="D156" s="7">
        <v>2.08</v>
      </c>
      <c r="E156" s="7">
        <v>2</v>
      </c>
      <c r="F156" s="7">
        <v>2.04</v>
      </c>
      <c r="G156" s="3">
        <v>2669198</v>
      </c>
      <c r="H156" s="3">
        <v>2288.87</v>
      </c>
      <c r="I156" s="3">
        <v>1121996411</v>
      </c>
      <c r="J156" s="7">
        <f t="shared" si="7"/>
        <v>27.457108362708404</v>
      </c>
      <c r="K156" s="19">
        <f t="shared" si="6"/>
        <v>17.241379310344833</v>
      </c>
    </row>
    <row r="157" spans="1:11" ht="15" customHeight="1" x14ac:dyDescent="0.2">
      <c r="A157" t="s">
        <v>9</v>
      </c>
      <c r="B157" s="9" t="s">
        <v>108</v>
      </c>
      <c r="C157" s="7">
        <v>2.11</v>
      </c>
      <c r="D157" s="7">
        <v>2.21</v>
      </c>
      <c r="E157" s="7">
        <v>2.09</v>
      </c>
      <c r="F157" s="7">
        <v>2.21</v>
      </c>
      <c r="G157" s="3">
        <v>44954832</v>
      </c>
      <c r="H157" s="3">
        <v>2479.61</v>
      </c>
      <c r="I157" s="3">
        <v>1121996411</v>
      </c>
      <c r="J157" s="7">
        <f t="shared" si="7"/>
        <v>29.745200726267438</v>
      </c>
      <c r="K157" s="19">
        <f t="shared" si="6"/>
        <v>27.011494252873565</v>
      </c>
    </row>
    <row r="158" spans="1:11" ht="15" customHeight="1" x14ac:dyDescent="0.2">
      <c r="A158" t="s">
        <v>9</v>
      </c>
      <c r="B158" s="9" t="s">
        <v>107</v>
      </c>
      <c r="C158" s="7">
        <v>2.23</v>
      </c>
      <c r="D158" s="7">
        <v>2.23</v>
      </c>
      <c r="E158" s="7">
        <v>2.1800000000000002</v>
      </c>
      <c r="F158" s="7">
        <v>2.2000000000000002</v>
      </c>
      <c r="G158" s="3">
        <v>2835493</v>
      </c>
      <c r="H158" s="3">
        <v>2468.39</v>
      </c>
      <c r="I158" s="3">
        <v>1121996411</v>
      </c>
      <c r="J158" s="7">
        <f t="shared" si="7"/>
        <v>29.61060705782279</v>
      </c>
      <c r="K158" s="19">
        <f t="shared" si="6"/>
        <v>26.436781609195414</v>
      </c>
    </row>
    <row r="159" spans="1:11" ht="15" customHeight="1" x14ac:dyDescent="0.2">
      <c r="A159" t="s">
        <v>9</v>
      </c>
      <c r="B159" s="9" t="s">
        <v>106</v>
      </c>
      <c r="C159" s="7">
        <v>2.2000000000000002</v>
      </c>
      <c r="D159" s="7">
        <v>2.2200000000000002</v>
      </c>
      <c r="E159" s="7">
        <v>2.1800000000000002</v>
      </c>
      <c r="F159" s="7">
        <v>2.1800000000000002</v>
      </c>
      <c r="G159" s="3">
        <v>3201630</v>
      </c>
      <c r="H159" s="3">
        <v>2445.9499999999998</v>
      </c>
      <c r="I159" s="3">
        <v>1121996411</v>
      </c>
      <c r="J159" s="7">
        <f t="shared" si="7"/>
        <v>29.341419720933491</v>
      </c>
      <c r="K159" s="19">
        <f t="shared" si="6"/>
        <v>25.287356321839088</v>
      </c>
    </row>
    <row r="160" spans="1:11" ht="15" customHeight="1" x14ac:dyDescent="0.2">
      <c r="A160" t="s">
        <v>9</v>
      </c>
      <c r="B160" s="9" t="s">
        <v>105</v>
      </c>
      <c r="C160" s="7">
        <v>2.23</v>
      </c>
      <c r="D160" s="7">
        <v>2.25</v>
      </c>
      <c r="E160" s="7">
        <v>2.16</v>
      </c>
      <c r="F160" s="7">
        <v>2.2000000000000002</v>
      </c>
      <c r="G160" s="3">
        <v>3417297</v>
      </c>
      <c r="H160" s="3">
        <v>2468.39</v>
      </c>
      <c r="I160" s="3">
        <v>1121996411</v>
      </c>
      <c r="J160" s="7">
        <f t="shared" si="7"/>
        <v>29.61060705782279</v>
      </c>
      <c r="K160" s="19">
        <f t="shared" si="6"/>
        <v>26.436781609195414</v>
      </c>
    </row>
    <row r="161" spans="1:11" ht="15" customHeight="1" x14ac:dyDescent="0.2">
      <c r="A161" t="s">
        <v>9</v>
      </c>
      <c r="B161" s="9" t="s">
        <v>104</v>
      </c>
      <c r="C161" s="7">
        <v>2.2400000000000002</v>
      </c>
      <c r="D161" s="7">
        <v>2.27</v>
      </c>
      <c r="E161" s="7">
        <v>2.17</v>
      </c>
      <c r="F161" s="7">
        <v>2.17</v>
      </c>
      <c r="G161" s="3">
        <v>4505104</v>
      </c>
      <c r="H161" s="3">
        <v>2434.73</v>
      </c>
      <c r="I161" s="3">
        <v>1121996411</v>
      </c>
      <c r="J161" s="7">
        <f t="shared" si="7"/>
        <v>29.206826052488839</v>
      </c>
      <c r="K161" s="19">
        <f t="shared" si="6"/>
        <v>24.712643678160916</v>
      </c>
    </row>
    <row r="162" spans="1:11" ht="15" customHeight="1" x14ac:dyDescent="0.2">
      <c r="A162" t="s">
        <v>9</v>
      </c>
      <c r="B162" s="9" t="s">
        <v>103</v>
      </c>
      <c r="C162" s="7">
        <v>2.21</v>
      </c>
      <c r="D162" s="7">
        <v>2.23</v>
      </c>
      <c r="E162" s="7">
        <v>2.1549999999999998</v>
      </c>
      <c r="F162" s="7">
        <v>2.1800000000000002</v>
      </c>
      <c r="G162" s="3">
        <v>1642928</v>
      </c>
      <c r="H162" s="3">
        <v>2445.9499999999998</v>
      </c>
      <c r="I162" s="3">
        <v>1121996411</v>
      </c>
      <c r="J162" s="7">
        <f t="shared" si="7"/>
        <v>29.341419720933491</v>
      </c>
      <c r="K162" s="19">
        <f t="shared" si="6"/>
        <v>25.287356321839088</v>
      </c>
    </row>
    <row r="163" spans="1:11" ht="15" customHeight="1" x14ac:dyDescent="0.2">
      <c r="A163" t="s">
        <v>9</v>
      </c>
      <c r="B163" s="9" t="s">
        <v>102</v>
      </c>
      <c r="C163" s="7">
        <v>2.19</v>
      </c>
      <c r="D163" s="7">
        <v>2.2349999999999999</v>
      </c>
      <c r="E163" s="7">
        <v>2.16</v>
      </c>
      <c r="F163" s="7">
        <v>2.21</v>
      </c>
      <c r="G163" s="3">
        <v>2714189</v>
      </c>
      <c r="H163" s="3">
        <v>2479.61</v>
      </c>
      <c r="I163" s="3">
        <v>1121996411</v>
      </c>
      <c r="J163" s="7">
        <f t="shared" si="7"/>
        <v>29.745200726267438</v>
      </c>
      <c r="K163" s="19">
        <f t="shared" si="6"/>
        <v>27.011494252873565</v>
      </c>
    </row>
    <row r="164" spans="1:11" ht="15" customHeight="1" x14ac:dyDescent="0.2">
      <c r="A164" t="s">
        <v>9</v>
      </c>
      <c r="B164" s="9" t="s">
        <v>101</v>
      </c>
      <c r="C164" s="7">
        <v>2.23</v>
      </c>
      <c r="D164" s="7">
        <v>2.2549999999999999</v>
      </c>
      <c r="E164" s="7">
        <v>2.19</v>
      </c>
      <c r="F164" s="7">
        <v>2.2200000000000002</v>
      </c>
      <c r="G164" s="3">
        <v>1983252</v>
      </c>
      <c r="H164" s="3">
        <v>2490.83</v>
      </c>
      <c r="I164" s="3">
        <v>1121996411</v>
      </c>
      <c r="J164" s="7">
        <f t="shared" si="7"/>
        <v>29.879794394712089</v>
      </c>
      <c r="K164" s="19">
        <f t="shared" si="6"/>
        <v>27.586206896551737</v>
      </c>
    </row>
    <row r="165" spans="1:11" ht="15" customHeight="1" x14ac:dyDescent="0.2">
      <c r="A165" t="s">
        <v>9</v>
      </c>
      <c r="B165" s="9" t="s">
        <v>100</v>
      </c>
      <c r="C165" s="7">
        <v>2.21</v>
      </c>
      <c r="D165" s="7">
        <v>2.21</v>
      </c>
      <c r="E165" s="7">
        <v>2.16</v>
      </c>
      <c r="F165" s="7">
        <v>2.2000000000000002</v>
      </c>
      <c r="G165" s="3">
        <v>1613904</v>
      </c>
      <c r="H165" s="3">
        <v>2468.39</v>
      </c>
      <c r="I165" s="3">
        <v>1121996411</v>
      </c>
      <c r="J165" s="7">
        <f t="shared" si="7"/>
        <v>29.61060705782279</v>
      </c>
      <c r="K165" s="19">
        <f t="shared" si="6"/>
        <v>26.436781609195414</v>
      </c>
    </row>
    <row r="166" spans="1:11" ht="15" customHeight="1" x14ac:dyDescent="0.2">
      <c r="A166" t="s">
        <v>9</v>
      </c>
      <c r="B166" s="9" t="s">
        <v>99</v>
      </c>
      <c r="C166" s="7">
        <v>2.2400000000000002</v>
      </c>
      <c r="D166" s="7">
        <v>2.25</v>
      </c>
      <c r="E166" s="7">
        <v>2.19</v>
      </c>
      <c r="F166" s="7">
        <v>2.2000000000000002</v>
      </c>
      <c r="G166" s="3">
        <v>2159662</v>
      </c>
      <c r="H166" s="3">
        <v>2468.39</v>
      </c>
      <c r="I166" s="3">
        <v>1121996411</v>
      </c>
      <c r="J166" s="7">
        <f t="shared" si="7"/>
        <v>29.61060705782279</v>
      </c>
      <c r="K166" s="19">
        <f t="shared" si="6"/>
        <v>26.436781609195414</v>
      </c>
    </row>
    <row r="167" spans="1:11" ht="15" customHeight="1" x14ac:dyDescent="0.2">
      <c r="A167" t="s">
        <v>9</v>
      </c>
      <c r="B167" s="9" t="s">
        <v>98</v>
      </c>
      <c r="C167" s="7">
        <v>2.19</v>
      </c>
      <c r="D167" s="7">
        <v>2.2200000000000002</v>
      </c>
      <c r="E167" s="7">
        <v>2.1800000000000002</v>
      </c>
      <c r="F167" s="7">
        <v>2.19</v>
      </c>
      <c r="G167" s="3">
        <v>2023458</v>
      </c>
      <c r="H167" s="3">
        <v>2457.17</v>
      </c>
      <c r="I167" s="3">
        <v>1121996411</v>
      </c>
      <c r="J167" s="7">
        <f t="shared" si="7"/>
        <v>29.476013389378139</v>
      </c>
      <c r="K167" s="19">
        <f t="shared" si="6"/>
        <v>25.862068965517238</v>
      </c>
    </row>
    <row r="168" spans="1:11" ht="15" customHeight="1" x14ac:dyDescent="0.2">
      <c r="A168" t="s">
        <v>9</v>
      </c>
      <c r="B168" s="9" t="s">
        <v>97</v>
      </c>
      <c r="C168" s="7">
        <v>2.2000000000000002</v>
      </c>
      <c r="D168" s="7">
        <v>2.25</v>
      </c>
      <c r="E168" s="7">
        <v>2.1850000000000001</v>
      </c>
      <c r="F168" s="7">
        <v>2.19</v>
      </c>
      <c r="G168" s="3">
        <v>2898292</v>
      </c>
      <c r="H168" s="3">
        <v>2457.17</v>
      </c>
      <c r="I168" s="3">
        <v>1121996411</v>
      </c>
      <c r="J168" s="7">
        <f t="shared" si="7"/>
        <v>29.476013389378139</v>
      </c>
      <c r="K168" s="19">
        <f t="shared" si="6"/>
        <v>25.862068965517238</v>
      </c>
    </row>
    <row r="169" spans="1:11" ht="15" customHeight="1" x14ac:dyDescent="0.2">
      <c r="A169" t="s">
        <v>9</v>
      </c>
      <c r="B169" s="9" t="s">
        <v>96</v>
      </c>
      <c r="C169" s="7">
        <v>2.15</v>
      </c>
      <c r="D169" s="7">
        <v>2.1800000000000002</v>
      </c>
      <c r="E169" s="7">
        <v>2.0699999999999998</v>
      </c>
      <c r="F169" s="7">
        <v>2.14</v>
      </c>
      <c r="G169" s="3">
        <v>4115264</v>
      </c>
      <c r="H169" s="3">
        <v>2401.0700000000002</v>
      </c>
      <c r="I169" s="3">
        <v>1121996411</v>
      </c>
      <c r="J169" s="7">
        <f t="shared" si="7"/>
        <v>28.803045047154896</v>
      </c>
      <c r="K169" s="19">
        <f t="shared" si="6"/>
        <v>22.988505747126446</v>
      </c>
    </row>
    <row r="170" spans="1:11" ht="15" customHeight="1" x14ac:dyDescent="0.2">
      <c r="A170" t="s">
        <v>9</v>
      </c>
      <c r="B170" s="9" t="s">
        <v>95</v>
      </c>
      <c r="C170" s="7">
        <v>2.16</v>
      </c>
      <c r="D170" s="7">
        <v>2.27</v>
      </c>
      <c r="E170" s="7">
        <v>2.13</v>
      </c>
      <c r="F170" s="7">
        <v>2.27</v>
      </c>
      <c r="G170" s="3">
        <v>4184964</v>
      </c>
      <c r="H170" s="3">
        <v>2546.9299999999998</v>
      </c>
      <c r="I170" s="3">
        <v>1121996411</v>
      </c>
      <c r="J170" s="7">
        <f t="shared" si="7"/>
        <v>30.552762736935332</v>
      </c>
      <c r="K170" s="19">
        <f t="shared" si="6"/>
        <v>30.459770114942529</v>
      </c>
    </row>
    <row r="171" spans="1:11" ht="15" customHeight="1" x14ac:dyDescent="0.2">
      <c r="A171" t="s">
        <v>9</v>
      </c>
      <c r="B171" s="9" t="s">
        <v>94</v>
      </c>
      <c r="C171" s="7">
        <v>2.21</v>
      </c>
      <c r="D171" s="7">
        <v>2.21</v>
      </c>
      <c r="E171" s="7">
        <v>2.12</v>
      </c>
      <c r="F171" s="7">
        <v>2.2000000000000002</v>
      </c>
      <c r="G171" s="3">
        <v>3529342</v>
      </c>
      <c r="H171" s="3">
        <v>2468.39</v>
      </c>
      <c r="I171" s="3">
        <v>1121996411</v>
      </c>
      <c r="J171" s="7">
        <f t="shared" si="7"/>
        <v>29.61060705782279</v>
      </c>
      <c r="K171" s="19">
        <f t="shared" si="6"/>
        <v>26.436781609195414</v>
      </c>
    </row>
    <row r="172" spans="1:11" ht="15" customHeight="1" x14ac:dyDescent="0.2">
      <c r="A172" t="s">
        <v>9</v>
      </c>
      <c r="B172" s="9" t="s">
        <v>93</v>
      </c>
      <c r="C172" s="7">
        <v>2.2000000000000002</v>
      </c>
      <c r="D172" s="7">
        <v>2.23</v>
      </c>
      <c r="E172" s="7">
        <v>2.17</v>
      </c>
      <c r="F172" s="7">
        <v>2.19</v>
      </c>
      <c r="G172" s="3">
        <v>4459257</v>
      </c>
      <c r="H172" s="3">
        <v>2457.17</v>
      </c>
      <c r="I172" s="3">
        <v>1121996411</v>
      </c>
      <c r="J172" s="7">
        <f t="shared" si="7"/>
        <v>29.476013389378139</v>
      </c>
      <c r="K172" s="19">
        <f t="shared" si="6"/>
        <v>25.862068965517238</v>
      </c>
    </row>
    <row r="173" spans="1:11" ht="15" customHeight="1" x14ac:dyDescent="0.2">
      <c r="A173" t="s">
        <v>9</v>
      </c>
      <c r="B173" s="9" t="s">
        <v>92</v>
      </c>
      <c r="C173" s="7">
        <v>2.13</v>
      </c>
      <c r="D173" s="7">
        <v>2.16</v>
      </c>
      <c r="E173" s="7">
        <v>2.0449999999999999</v>
      </c>
      <c r="F173" s="7">
        <v>2.0699999999999998</v>
      </c>
      <c r="G173" s="3">
        <v>3934080</v>
      </c>
      <c r="H173" s="3">
        <v>2322.5300000000002</v>
      </c>
      <c r="I173" s="3">
        <v>1121996411</v>
      </c>
      <c r="J173" s="7">
        <f t="shared" si="7"/>
        <v>27.860889368042347</v>
      </c>
      <c r="K173" s="19">
        <f t="shared" si="6"/>
        <v>18.965517241379303</v>
      </c>
    </row>
    <row r="174" spans="1:11" ht="15" customHeight="1" x14ac:dyDescent="0.2">
      <c r="A174" t="s">
        <v>9</v>
      </c>
      <c r="B174" s="9" t="s">
        <v>91</v>
      </c>
      <c r="C174" s="7">
        <v>2.09</v>
      </c>
      <c r="D174" s="7">
        <v>2.15</v>
      </c>
      <c r="E174" s="7">
        <v>2.0699999999999998</v>
      </c>
      <c r="F174" s="7">
        <v>2.14</v>
      </c>
      <c r="G174" s="3">
        <v>4487720</v>
      </c>
      <c r="H174" s="3">
        <v>2401.0700000000002</v>
      </c>
      <c r="I174" s="3">
        <v>1121996411</v>
      </c>
      <c r="J174" s="7">
        <f t="shared" si="7"/>
        <v>28.803045047154896</v>
      </c>
      <c r="K174" s="19">
        <f t="shared" si="6"/>
        <v>22.988505747126446</v>
      </c>
    </row>
    <row r="175" spans="1:11" ht="15" customHeight="1" x14ac:dyDescent="0.2">
      <c r="A175" t="s">
        <v>9</v>
      </c>
      <c r="B175" s="9" t="s">
        <v>90</v>
      </c>
      <c r="C175" s="7">
        <v>2.15</v>
      </c>
      <c r="D175" s="7">
        <v>2.19</v>
      </c>
      <c r="E175" s="7">
        <v>2.09</v>
      </c>
      <c r="F175" s="7">
        <v>2.1800000000000002</v>
      </c>
      <c r="G175" s="3">
        <v>4379793</v>
      </c>
      <c r="H175" s="3">
        <v>2445.9499999999998</v>
      </c>
      <c r="I175" s="3">
        <v>1121996411</v>
      </c>
      <c r="J175" s="7">
        <f t="shared" si="7"/>
        <v>29.341419720933491</v>
      </c>
      <c r="K175" s="19">
        <f t="shared" si="6"/>
        <v>25.287356321839088</v>
      </c>
    </row>
    <row r="176" spans="1:11" ht="15" customHeight="1" x14ac:dyDescent="0.2">
      <c r="A176" t="s">
        <v>9</v>
      </c>
      <c r="B176" s="9" t="s">
        <v>89</v>
      </c>
      <c r="C176" s="7">
        <v>2.14</v>
      </c>
      <c r="D176" s="7">
        <v>2.14</v>
      </c>
      <c r="E176" s="7">
        <v>2.0699999999999998</v>
      </c>
      <c r="F176" s="7">
        <v>2.0699999999999998</v>
      </c>
      <c r="G176" s="3">
        <v>3873791</v>
      </c>
      <c r="H176" s="3">
        <v>2335.5700000000002</v>
      </c>
      <c r="I176" s="3">
        <v>1128297058</v>
      </c>
      <c r="J176" s="7">
        <f t="shared" si="7"/>
        <v>27.860889368042347</v>
      </c>
      <c r="K176" s="19">
        <f t="shared" si="6"/>
        <v>18.965517241379303</v>
      </c>
    </row>
    <row r="177" spans="1:11" ht="15" customHeight="1" x14ac:dyDescent="0.2">
      <c r="A177" t="s">
        <v>9</v>
      </c>
      <c r="B177" s="9" t="s">
        <v>88</v>
      </c>
      <c r="C177" s="7">
        <v>2.09</v>
      </c>
      <c r="D177" s="7">
        <v>2.1150000000000002</v>
      </c>
      <c r="E177" s="7">
        <v>2.09</v>
      </c>
      <c r="F177" s="7">
        <v>2.11</v>
      </c>
      <c r="G177" s="3">
        <v>3258693</v>
      </c>
      <c r="H177" s="3">
        <v>2380.71</v>
      </c>
      <c r="I177" s="3">
        <v>1128297058</v>
      </c>
      <c r="J177" s="7">
        <f t="shared" si="7"/>
        <v>28.399264041820945</v>
      </c>
      <c r="K177" s="19">
        <f t="shared" si="6"/>
        <v>21.264367816091948</v>
      </c>
    </row>
    <row r="178" spans="1:11" ht="15" customHeight="1" x14ac:dyDescent="0.2">
      <c r="A178" t="s">
        <v>9</v>
      </c>
      <c r="B178" s="9" t="s">
        <v>87</v>
      </c>
      <c r="C178" s="7">
        <v>2.14</v>
      </c>
      <c r="D178" s="7">
        <v>2.1800000000000002</v>
      </c>
      <c r="E178" s="7">
        <v>2.11</v>
      </c>
      <c r="F178" s="7">
        <v>2.11</v>
      </c>
      <c r="G178" s="3">
        <v>3065109</v>
      </c>
      <c r="H178" s="3">
        <v>2380.71</v>
      </c>
      <c r="I178" s="3">
        <v>1128297058</v>
      </c>
      <c r="J178" s="7">
        <f t="shared" si="7"/>
        <v>28.399264041820945</v>
      </c>
      <c r="K178" s="19">
        <f t="shared" si="6"/>
        <v>21.264367816091948</v>
      </c>
    </row>
    <row r="179" spans="1:11" ht="15" customHeight="1" x14ac:dyDescent="0.2">
      <c r="A179" t="s">
        <v>9</v>
      </c>
      <c r="B179" s="9" t="s">
        <v>86</v>
      </c>
      <c r="C179" s="7">
        <v>2.14</v>
      </c>
      <c r="D179" s="7">
        <v>2.16</v>
      </c>
      <c r="E179" s="7">
        <v>2.12</v>
      </c>
      <c r="F179" s="7">
        <v>2.15</v>
      </c>
      <c r="G179" s="3">
        <v>3263343</v>
      </c>
      <c r="H179" s="3">
        <v>2425.84</v>
      </c>
      <c r="I179" s="3">
        <v>1128297058</v>
      </c>
      <c r="J179" s="7">
        <f t="shared" si="7"/>
        <v>28.93763871559954</v>
      </c>
      <c r="K179" s="19">
        <f t="shared" si="6"/>
        <v>23.563218390804593</v>
      </c>
    </row>
    <row r="180" spans="1:11" ht="15" customHeight="1" x14ac:dyDescent="0.2">
      <c r="A180" t="s">
        <v>9</v>
      </c>
      <c r="B180" s="9" t="s">
        <v>85</v>
      </c>
      <c r="C180" s="7">
        <v>2.23</v>
      </c>
      <c r="D180" s="7">
        <v>2.2400000000000002</v>
      </c>
      <c r="E180" s="7">
        <v>2.1800000000000002</v>
      </c>
      <c r="F180" s="7">
        <v>2.2000000000000002</v>
      </c>
      <c r="G180" s="3">
        <v>6815223</v>
      </c>
      <c r="H180" s="3">
        <v>2482.25</v>
      </c>
      <c r="I180" s="3">
        <v>1128297058</v>
      </c>
      <c r="J180" s="7">
        <f t="shared" si="7"/>
        <v>29.61060705782279</v>
      </c>
      <c r="K180" s="19">
        <f t="shared" si="6"/>
        <v>26.436781609195414</v>
      </c>
    </row>
    <row r="181" spans="1:11" ht="15" customHeight="1" x14ac:dyDescent="0.2">
      <c r="A181" t="s">
        <v>9</v>
      </c>
      <c r="B181" s="9" t="s">
        <v>84</v>
      </c>
      <c r="C181" s="7">
        <v>2.21</v>
      </c>
      <c r="D181" s="7">
        <v>2.2200000000000002</v>
      </c>
      <c r="E181" s="7">
        <v>2.16</v>
      </c>
      <c r="F181" s="7">
        <v>2.17</v>
      </c>
      <c r="G181" s="3">
        <v>4441009</v>
      </c>
      <c r="H181" s="3">
        <v>2448.4</v>
      </c>
      <c r="I181" s="3">
        <v>1128297058</v>
      </c>
      <c r="J181" s="7">
        <f t="shared" si="7"/>
        <v>29.206826052488839</v>
      </c>
      <c r="K181" s="19">
        <f t="shared" si="6"/>
        <v>24.712643678160916</v>
      </c>
    </row>
    <row r="182" spans="1:11" ht="15" customHeight="1" x14ac:dyDescent="0.2">
      <c r="A182" t="s">
        <v>9</v>
      </c>
      <c r="B182" s="9" t="s">
        <v>83</v>
      </c>
      <c r="C182" s="7">
        <v>2.19</v>
      </c>
      <c r="D182" s="7">
        <v>2.2050000000000001</v>
      </c>
      <c r="E182" s="7">
        <v>2.09</v>
      </c>
      <c r="F182" s="7">
        <v>2.11</v>
      </c>
      <c r="G182" s="3">
        <v>4342126</v>
      </c>
      <c r="H182" s="3">
        <v>2381.0300000000002</v>
      </c>
      <c r="I182" s="3">
        <v>1128451608</v>
      </c>
      <c r="J182" s="7">
        <f t="shared" si="7"/>
        <v>28.399264041820945</v>
      </c>
      <c r="K182" s="19">
        <f t="shared" si="6"/>
        <v>21.264367816091948</v>
      </c>
    </row>
    <row r="183" spans="1:11" ht="15" customHeight="1" x14ac:dyDescent="0.2">
      <c r="A183" t="s">
        <v>9</v>
      </c>
      <c r="B183" s="9" t="s">
        <v>82</v>
      </c>
      <c r="C183" s="7">
        <v>2.08</v>
      </c>
      <c r="D183" s="7">
        <v>2.12</v>
      </c>
      <c r="E183" s="7">
        <v>2.0499999999999998</v>
      </c>
      <c r="F183" s="7">
        <v>2.1</v>
      </c>
      <c r="G183" s="3">
        <v>4569170</v>
      </c>
      <c r="H183" s="3">
        <v>2369.75</v>
      </c>
      <c r="I183" s="3">
        <v>1128451608</v>
      </c>
      <c r="J183" s="7">
        <f t="shared" si="7"/>
        <v>28.264670373376298</v>
      </c>
      <c r="K183" s="19">
        <f t="shared" si="6"/>
        <v>20.689655172413797</v>
      </c>
    </row>
    <row r="184" spans="1:11" ht="15" customHeight="1" x14ac:dyDescent="0.2">
      <c r="A184" t="s">
        <v>9</v>
      </c>
      <c r="B184" s="9" t="s">
        <v>81</v>
      </c>
      <c r="C184" s="7">
        <v>2.1</v>
      </c>
      <c r="D184" s="7">
        <v>2.14</v>
      </c>
      <c r="E184" s="7">
        <v>2.06</v>
      </c>
      <c r="F184" s="7">
        <v>2.12</v>
      </c>
      <c r="G184" s="3">
        <v>4927386</v>
      </c>
      <c r="H184" s="3">
        <v>2392.3200000000002</v>
      </c>
      <c r="I184" s="3">
        <v>1128451608</v>
      </c>
      <c r="J184" s="7">
        <f t="shared" si="7"/>
        <v>28.533857710265597</v>
      </c>
      <c r="K184" s="19">
        <f t="shared" si="6"/>
        <v>21.839080459770123</v>
      </c>
    </row>
    <row r="185" spans="1:11" ht="15" customHeight="1" x14ac:dyDescent="0.2">
      <c r="A185" t="s">
        <v>9</v>
      </c>
      <c r="B185" s="9" t="s">
        <v>80</v>
      </c>
      <c r="C185" s="7">
        <v>2.14</v>
      </c>
      <c r="D185" s="7">
        <v>2.19</v>
      </c>
      <c r="E185" s="7">
        <v>2.11</v>
      </c>
      <c r="F185" s="7">
        <v>2.11</v>
      </c>
      <c r="G185" s="3">
        <v>16905572</v>
      </c>
      <c r="H185" s="3">
        <v>2381.0300000000002</v>
      </c>
      <c r="I185" s="3">
        <v>1128451608</v>
      </c>
      <c r="J185" s="7">
        <f t="shared" si="7"/>
        <v>28.399264041820945</v>
      </c>
      <c r="K185" s="19">
        <f t="shared" si="6"/>
        <v>21.264367816091948</v>
      </c>
    </row>
    <row r="186" spans="1:11" ht="15" customHeight="1" x14ac:dyDescent="0.2">
      <c r="A186" t="s">
        <v>9</v>
      </c>
      <c r="B186" s="9" t="s">
        <v>79</v>
      </c>
      <c r="C186" s="7">
        <v>2.11</v>
      </c>
      <c r="D186" s="7">
        <v>2.16</v>
      </c>
      <c r="E186" s="7">
        <v>2.0699999999999998</v>
      </c>
      <c r="F186" s="7">
        <v>2.11</v>
      </c>
      <c r="G186" s="3">
        <v>3651624</v>
      </c>
      <c r="H186" s="3">
        <v>2381.0300000000002</v>
      </c>
      <c r="I186" s="3">
        <v>1128451608</v>
      </c>
      <c r="J186" s="7">
        <f t="shared" si="7"/>
        <v>28.399264041820945</v>
      </c>
      <c r="K186" s="19">
        <f t="shared" si="6"/>
        <v>21.264367816091948</v>
      </c>
    </row>
    <row r="187" spans="1:11" ht="15" customHeight="1" x14ac:dyDescent="0.2">
      <c r="A187" t="s">
        <v>9</v>
      </c>
      <c r="B187" s="9" t="s">
        <v>78</v>
      </c>
      <c r="C187" s="7">
        <v>2.0699999999999998</v>
      </c>
      <c r="D187" s="7">
        <v>2.1</v>
      </c>
      <c r="E187" s="7">
        <v>2.0499999999999998</v>
      </c>
      <c r="F187" s="7">
        <v>2.0699999999999998</v>
      </c>
      <c r="G187" s="3">
        <v>5491680</v>
      </c>
      <c r="H187" s="3">
        <v>2335.89</v>
      </c>
      <c r="I187" s="3">
        <v>1128451608</v>
      </c>
      <c r="J187" s="7">
        <f t="shared" si="7"/>
        <v>27.860889368042347</v>
      </c>
      <c r="K187" s="19">
        <f t="shared" si="6"/>
        <v>18.965517241379303</v>
      </c>
    </row>
    <row r="188" spans="1:11" ht="15" customHeight="1" x14ac:dyDescent="0.2">
      <c r="A188" t="s">
        <v>9</v>
      </c>
      <c r="B188" s="9" t="s">
        <v>77</v>
      </c>
      <c r="C188" s="7">
        <v>2.14</v>
      </c>
      <c r="D188" s="7">
        <v>2.1850000000000001</v>
      </c>
      <c r="E188" s="7">
        <v>2.1</v>
      </c>
      <c r="F188" s="7">
        <v>2.1</v>
      </c>
      <c r="G188" s="3">
        <v>4713110</v>
      </c>
      <c r="H188" s="3">
        <v>2369.75</v>
      </c>
      <c r="I188" s="3">
        <v>1128451608</v>
      </c>
      <c r="J188" s="7">
        <f t="shared" si="7"/>
        <v>28.264670373376298</v>
      </c>
      <c r="K188" s="19">
        <f t="shared" si="6"/>
        <v>20.689655172413797</v>
      </c>
    </row>
    <row r="189" spans="1:11" ht="15" customHeight="1" x14ac:dyDescent="0.2">
      <c r="A189" t="s">
        <v>9</v>
      </c>
      <c r="B189" s="9" t="s">
        <v>76</v>
      </c>
      <c r="C189" s="7">
        <v>2.13</v>
      </c>
      <c r="D189" s="7">
        <v>2.15</v>
      </c>
      <c r="E189" s="7">
        <v>2.09</v>
      </c>
      <c r="F189" s="7">
        <v>2.15</v>
      </c>
      <c r="G189" s="3">
        <v>4492014</v>
      </c>
      <c r="H189" s="3">
        <v>2426.17</v>
      </c>
      <c r="I189" s="3">
        <v>1128451608</v>
      </c>
      <c r="J189" s="7">
        <f t="shared" si="7"/>
        <v>28.93763871559954</v>
      </c>
      <c r="K189" s="19">
        <f t="shared" si="6"/>
        <v>23.563218390804593</v>
      </c>
    </row>
    <row r="190" spans="1:11" ht="15" customHeight="1" x14ac:dyDescent="0.2">
      <c r="A190" t="s">
        <v>9</v>
      </c>
      <c r="B190" s="9" t="s">
        <v>75</v>
      </c>
      <c r="C190" s="7">
        <v>2.11</v>
      </c>
      <c r="D190" s="7">
        <v>2.15</v>
      </c>
      <c r="E190" s="7">
        <v>2.09</v>
      </c>
      <c r="F190" s="7">
        <v>2.15</v>
      </c>
      <c r="G190" s="3">
        <v>4089913</v>
      </c>
      <c r="H190" s="3">
        <v>2426.17</v>
      </c>
      <c r="I190" s="3">
        <v>1128451608</v>
      </c>
      <c r="J190" s="7">
        <f t="shared" si="7"/>
        <v>28.93763871559954</v>
      </c>
      <c r="K190" s="19">
        <f t="shared" si="6"/>
        <v>23.563218390804593</v>
      </c>
    </row>
    <row r="191" spans="1:11" ht="15" customHeight="1" x14ac:dyDescent="0.2">
      <c r="A191" t="s">
        <v>9</v>
      </c>
      <c r="B191" s="9" t="s">
        <v>74</v>
      </c>
      <c r="C191" s="7">
        <v>2.14</v>
      </c>
      <c r="D191" s="7">
        <v>2.14</v>
      </c>
      <c r="E191" s="7">
        <v>2.0299999999999998</v>
      </c>
      <c r="F191" s="7">
        <v>2.06</v>
      </c>
      <c r="G191" s="3">
        <v>5991535</v>
      </c>
      <c r="H191" s="3">
        <v>2324.61</v>
      </c>
      <c r="I191" s="3">
        <v>1128451608</v>
      </c>
      <c r="J191" s="7">
        <f t="shared" si="7"/>
        <v>27.726295699597703</v>
      </c>
      <c r="K191" s="19">
        <f t="shared" si="6"/>
        <v>18.390804597701152</v>
      </c>
    </row>
    <row r="192" spans="1:11" ht="15" customHeight="1" x14ac:dyDescent="0.2">
      <c r="A192" t="s">
        <v>9</v>
      </c>
      <c r="B192" s="9" t="s">
        <v>73</v>
      </c>
      <c r="C192" s="7">
        <v>2.04</v>
      </c>
      <c r="D192" s="7">
        <v>2.0499999999999998</v>
      </c>
      <c r="E192" s="7">
        <v>2.0099999999999998</v>
      </c>
      <c r="F192" s="7">
        <v>2.04</v>
      </c>
      <c r="G192" s="3">
        <v>3004706</v>
      </c>
      <c r="H192" s="3">
        <v>2302.04</v>
      </c>
      <c r="I192" s="3">
        <v>1128451608</v>
      </c>
      <c r="J192" s="7">
        <f t="shared" si="7"/>
        <v>27.457108362708404</v>
      </c>
      <c r="K192" s="19">
        <f t="shared" si="6"/>
        <v>17.241379310344833</v>
      </c>
    </row>
    <row r="193" spans="1:11" ht="15" customHeight="1" x14ac:dyDescent="0.2">
      <c r="A193" t="s">
        <v>9</v>
      </c>
      <c r="B193" s="9" t="s">
        <v>72</v>
      </c>
      <c r="C193" s="7">
        <v>2.08</v>
      </c>
      <c r="D193" s="7">
        <v>2.125</v>
      </c>
      <c r="E193" s="7">
        <v>2.0699999999999998</v>
      </c>
      <c r="F193" s="7">
        <v>2.09</v>
      </c>
      <c r="G193" s="3">
        <v>4624069</v>
      </c>
      <c r="H193" s="3">
        <v>2358.46</v>
      </c>
      <c r="I193" s="3">
        <v>1128451608</v>
      </c>
      <c r="J193" s="7">
        <f t="shared" si="7"/>
        <v>28.130076704931646</v>
      </c>
      <c r="K193" s="19">
        <f t="shared" si="6"/>
        <v>20.114942528735625</v>
      </c>
    </row>
    <row r="194" spans="1:11" ht="15" customHeight="1" x14ac:dyDescent="0.2">
      <c r="A194" t="s">
        <v>9</v>
      </c>
      <c r="B194" s="9" t="s">
        <v>71</v>
      </c>
      <c r="C194" s="7">
        <v>2.08</v>
      </c>
      <c r="D194" s="7">
        <v>2.08</v>
      </c>
      <c r="E194" s="7">
        <v>2</v>
      </c>
      <c r="F194" s="7">
        <v>2.02</v>
      </c>
      <c r="G194" s="3">
        <v>2495368</v>
      </c>
      <c r="H194" s="3">
        <v>2279.4699999999998</v>
      </c>
      <c r="I194" s="3">
        <v>1128451608</v>
      </c>
      <c r="J194" s="7">
        <f t="shared" si="7"/>
        <v>27.187921025819104</v>
      </c>
      <c r="K194" s="19">
        <f t="shared" si="6"/>
        <v>16.09195402298851</v>
      </c>
    </row>
    <row r="195" spans="1:11" ht="15" customHeight="1" x14ac:dyDescent="0.2">
      <c r="A195" t="s">
        <v>9</v>
      </c>
      <c r="B195" s="9" t="s">
        <v>70</v>
      </c>
      <c r="C195" s="7">
        <v>2.02</v>
      </c>
      <c r="D195" s="7">
        <v>2.0449999999999999</v>
      </c>
      <c r="E195" s="7">
        <v>1.98</v>
      </c>
      <c r="F195" s="7">
        <v>2.04</v>
      </c>
      <c r="G195" s="3">
        <v>2738137</v>
      </c>
      <c r="H195" s="3">
        <v>2302.04</v>
      </c>
      <c r="I195" s="3">
        <v>1128451608</v>
      </c>
      <c r="J195" s="7">
        <f t="shared" si="7"/>
        <v>27.457108362708404</v>
      </c>
      <c r="K195" s="19">
        <f t="shared" si="6"/>
        <v>17.241379310344833</v>
      </c>
    </row>
    <row r="196" spans="1:11" ht="15" customHeight="1" x14ac:dyDescent="0.2">
      <c r="A196" t="s">
        <v>9</v>
      </c>
      <c r="B196" s="9" t="s">
        <v>69</v>
      </c>
      <c r="C196" s="7">
        <v>2.04</v>
      </c>
      <c r="D196" s="7">
        <v>2.04</v>
      </c>
      <c r="E196" s="7">
        <v>1.98</v>
      </c>
      <c r="F196" s="7">
        <v>2.02</v>
      </c>
      <c r="G196" s="3">
        <v>2157597</v>
      </c>
      <c r="H196" s="3">
        <v>2279.4699999999998</v>
      </c>
      <c r="I196" s="3">
        <v>1128451608</v>
      </c>
      <c r="J196" s="7">
        <f t="shared" si="7"/>
        <v>27.187921025819104</v>
      </c>
      <c r="K196" s="19">
        <f t="shared" si="6"/>
        <v>16.09195402298851</v>
      </c>
    </row>
    <row r="197" spans="1:11" ht="15" customHeight="1" x14ac:dyDescent="0.2">
      <c r="A197" t="s">
        <v>9</v>
      </c>
      <c r="B197" s="9" t="s">
        <v>68</v>
      </c>
      <c r="C197" s="7">
        <v>1.9950000000000001</v>
      </c>
      <c r="D197" s="7">
        <v>2.0299999999999998</v>
      </c>
      <c r="E197" s="7">
        <v>1.99</v>
      </c>
      <c r="F197" s="7">
        <v>2.0099999999999998</v>
      </c>
      <c r="G197" s="3">
        <v>2128136</v>
      </c>
      <c r="H197" s="3">
        <v>2268.19</v>
      </c>
      <c r="I197" s="3">
        <v>1128451608</v>
      </c>
      <c r="J197" s="7">
        <f t="shared" si="7"/>
        <v>27.053327357374453</v>
      </c>
      <c r="K197" s="19">
        <f t="shared" ref="K197:K255" si="8">((F197-$F$2)/$F$2)*100</f>
        <v>15.517241379310335</v>
      </c>
    </row>
    <row r="198" spans="1:11" ht="15" customHeight="1" x14ac:dyDescent="0.2">
      <c r="A198" t="s">
        <v>9</v>
      </c>
      <c r="B198" s="9" t="s">
        <v>67</v>
      </c>
      <c r="C198" s="7">
        <v>1.98</v>
      </c>
      <c r="D198" s="7">
        <v>2.0299999999999998</v>
      </c>
      <c r="E198" s="7">
        <v>1.98</v>
      </c>
      <c r="F198" s="7">
        <v>1.9950000000000001</v>
      </c>
      <c r="G198" s="3">
        <v>1690731</v>
      </c>
      <c r="H198" s="3">
        <v>2251.2600000000002</v>
      </c>
      <c r="I198" s="3">
        <v>1128451608</v>
      </c>
      <c r="J198" s="7">
        <f t="shared" si="7"/>
        <v>26.851436854707483</v>
      </c>
      <c r="K198" s="19">
        <f t="shared" si="8"/>
        <v>14.65517241379311</v>
      </c>
    </row>
    <row r="199" spans="1:11" ht="15" customHeight="1" x14ac:dyDescent="0.2">
      <c r="A199" t="s">
        <v>9</v>
      </c>
      <c r="B199" s="9" t="s">
        <v>66</v>
      </c>
      <c r="C199" s="7">
        <v>2.02</v>
      </c>
      <c r="D199" s="7">
        <v>2.0350000000000001</v>
      </c>
      <c r="E199" s="7">
        <v>2.0049999999999999</v>
      </c>
      <c r="F199" s="7">
        <v>2.0299999999999998</v>
      </c>
      <c r="G199" s="3">
        <v>1385526</v>
      </c>
      <c r="H199" s="3">
        <v>2290.7600000000002</v>
      </c>
      <c r="I199" s="3">
        <v>1128451608</v>
      </c>
      <c r="J199" s="7">
        <f t="shared" ref="J199:J255" si="9">F199/0.0742977</f>
        <v>27.322514694263752</v>
      </c>
      <c r="K199" s="19">
        <f t="shared" si="8"/>
        <v>16.666666666666657</v>
      </c>
    </row>
    <row r="200" spans="1:11" ht="15" customHeight="1" x14ac:dyDescent="0.2">
      <c r="A200" t="s">
        <v>9</v>
      </c>
      <c r="B200" s="9" t="s">
        <v>65</v>
      </c>
      <c r="C200" s="7">
        <v>2.0499999999999998</v>
      </c>
      <c r="D200" s="7">
        <v>2.1</v>
      </c>
      <c r="E200" s="7">
        <v>2.0499999999999998</v>
      </c>
      <c r="F200" s="7">
        <v>2.0699999999999998</v>
      </c>
      <c r="G200" s="3">
        <v>2434260</v>
      </c>
      <c r="H200" s="3">
        <v>2335.89</v>
      </c>
      <c r="I200" s="3">
        <v>1128451608</v>
      </c>
      <c r="J200" s="7">
        <f t="shared" si="9"/>
        <v>27.860889368042347</v>
      </c>
      <c r="K200" s="19">
        <f t="shared" si="8"/>
        <v>18.965517241379303</v>
      </c>
    </row>
    <row r="201" spans="1:11" ht="15" customHeight="1" x14ac:dyDescent="0.2">
      <c r="A201" t="s">
        <v>9</v>
      </c>
      <c r="B201" s="9" t="s">
        <v>64</v>
      </c>
      <c r="C201" s="7">
        <v>2.09</v>
      </c>
      <c r="D201" s="7">
        <v>2.09</v>
      </c>
      <c r="E201" s="7">
        <v>2.04</v>
      </c>
      <c r="F201" s="7">
        <v>2.0499999999999998</v>
      </c>
      <c r="G201" s="3">
        <v>2766684</v>
      </c>
      <c r="H201" s="3">
        <v>2313.33</v>
      </c>
      <c r="I201" s="3">
        <v>1128451608</v>
      </c>
      <c r="J201" s="7">
        <f t="shared" si="9"/>
        <v>27.591702031153051</v>
      </c>
      <c r="K201" s="19">
        <f t="shared" si="8"/>
        <v>17.816091954022976</v>
      </c>
    </row>
    <row r="202" spans="1:11" ht="15" customHeight="1" x14ac:dyDescent="0.2">
      <c r="A202" t="s">
        <v>9</v>
      </c>
      <c r="B202" s="9" t="s">
        <v>63</v>
      </c>
      <c r="C202" s="7">
        <v>2.08</v>
      </c>
      <c r="D202" s="7">
        <v>2.13</v>
      </c>
      <c r="E202" s="7">
        <v>2.0699999999999998</v>
      </c>
      <c r="F202" s="7">
        <v>2.08</v>
      </c>
      <c r="G202" s="3">
        <v>2450242</v>
      </c>
      <c r="H202" s="3">
        <v>2347.1799999999998</v>
      </c>
      <c r="I202" s="3">
        <v>1128451608</v>
      </c>
      <c r="J202" s="7">
        <f t="shared" si="9"/>
        <v>27.995483036487002</v>
      </c>
      <c r="K202" s="19">
        <f t="shared" si="8"/>
        <v>19.540229885057474</v>
      </c>
    </row>
    <row r="203" spans="1:11" ht="15" customHeight="1" x14ac:dyDescent="0.2">
      <c r="A203" t="s">
        <v>9</v>
      </c>
      <c r="B203" s="9" t="s">
        <v>62</v>
      </c>
      <c r="C203" s="7">
        <v>2.12</v>
      </c>
      <c r="D203" s="7">
        <v>2.19</v>
      </c>
      <c r="E203" s="7">
        <v>2.11</v>
      </c>
      <c r="F203" s="7">
        <v>2.19</v>
      </c>
      <c r="G203" s="3">
        <v>4890832</v>
      </c>
      <c r="H203" s="3">
        <v>2471.31</v>
      </c>
      <c r="I203" s="3">
        <v>1128451608</v>
      </c>
      <c r="J203" s="7">
        <f t="shared" si="9"/>
        <v>29.476013389378139</v>
      </c>
      <c r="K203" s="19">
        <f t="shared" si="8"/>
        <v>25.862068965517238</v>
      </c>
    </row>
    <row r="204" spans="1:11" ht="15" customHeight="1" x14ac:dyDescent="0.2">
      <c r="A204" t="s">
        <v>9</v>
      </c>
      <c r="B204" s="9" t="s">
        <v>61</v>
      </c>
      <c r="C204" s="7">
        <v>2.2400000000000002</v>
      </c>
      <c r="D204" s="7">
        <v>2.3199999999999998</v>
      </c>
      <c r="E204" s="7">
        <v>2.2000000000000002</v>
      </c>
      <c r="F204" s="7">
        <v>2.3199999999999998</v>
      </c>
      <c r="G204" s="3">
        <v>11871902</v>
      </c>
      <c r="H204" s="3">
        <v>2618.0100000000002</v>
      </c>
      <c r="I204" s="3">
        <v>1128451608</v>
      </c>
      <c r="J204" s="7">
        <f t="shared" si="9"/>
        <v>31.225731079158574</v>
      </c>
      <c r="K204" s="19">
        <f t="shared" si="8"/>
        <v>33.333333333333329</v>
      </c>
    </row>
    <row r="205" spans="1:11" ht="15" customHeight="1" x14ac:dyDescent="0.2">
      <c r="A205" t="s">
        <v>9</v>
      </c>
      <c r="B205" s="9" t="s">
        <v>60</v>
      </c>
      <c r="C205" s="7">
        <v>2.2999999999999998</v>
      </c>
      <c r="D205" s="7">
        <v>2.3199999999999998</v>
      </c>
      <c r="E205" s="7">
        <v>2.2549999999999999</v>
      </c>
      <c r="F205" s="7">
        <v>2.2999999999999998</v>
      </c>
      <c r="G205" s="3">
        <v>42702149</v>
      </c>
      <c r="H205" s="3">
        <v>2595.44</v>
      </c>
      <c r="I205" s="3">
        <v>1128451608</v>
      </c>
      <c r="J205" s="7">
        <f t="shared" si="9"/>
        <v>30.956543742269275</v>
      </c>
      <c r="K205" s="19">
        <f t="shared" si="8"/>
        <v>32.183908045976999</v>
      </c>
    </row>
    <row r="206" spans="1:11" ht="15" customHeight="1" x14ac:dyDescent="0.2">
      <c r="A206" t="s">
        <v>9</v>
      </c>
      <c r="B206" s="9" t="s">
        <v>59</v>
      </c>
      <c r="C206" s="7">
        <v>2.4</v>
      </c>
      <c r="D206" s="7">
        <v>2.4750000000000001</v>
      </c>
      <c r="E206" s="7">
        <v>2.375</v>
      </c>
      <c r="F206" s="7">
        <v>2.4700000000000002</v>
      </c>
      <c r="G206" s="3">
        <v>5538373</v>
      </c>
      <c r="H206" s="3">
        <v>2787.28</v>
      </c>
      <c r="I206" s="3">
        <v>1128451608</v>
      </c>
      <c r="J206" s="7">
        <f t="shared" si="9"/>
        <v>33.244636105828313</v>
      </c>
      <c r="K206" s="19">
        <f t="shared" si="8"/>
        <v>41.954022988505756</v>
      </c>
    </row>
    <row r="207" spans="1:11" ht="15" customHeight="1" x14ac:dyDescent="0.2">
      <c r="A207" t="s">
        <v>9</v>
      </c>
      <c r="B207" s="9" t="s">
        <v>58</v>
      </c>
      <c r="C207" s="7">
        <v>2.4300000000000002</v>
      </c>
      <c r="D207" s="7">
        <v>2.4900000000000002</v>
      </c>
      <c r="E207" s="7">
        <v>2.3849999999999998</v>
      </c>
      <c r="F207" s="7">
        <v>2.4900000000000002</v>
      </c>
      <c r="G207" s="3">
        <v>4257193</v>
      </c>
      <c r="H207" s="3">
        <v>2809.84</v>
      </c>
      <c r="I207" s="3">
        <v>1128451608</v>
      </c>
      <c r="J207" s="7">
        <f t="shared" si="9"/>
        <v>33.513823442717616</v>
      </c>
      <c r="K207" s="19">
        <f t="shared" si="8"/>
        <v>43.103448275862085</v>
      </c>
    </row>
    <row r="208" spans="1:11" ht="15" customHeight="1" x14ac:dyDescent="0.2">
      <c r="A208" t="s">
        <v>9</v>
      </c>
      <c r="B208" s="9" t="s">
        <v>57</v>
      </c>
      <c r="C208" s="7">
        <v>2.4700000000000002</v>
      </c>
      <c r="D208" s="7">
        <v>2.5750000000000002</v>
      </c>
      <c r="E208" s="7">
        <v>2.46</v>
      </c>
      <c r="F208" s="7">
        <v>2.56</v>
      </c>
      <c r="G208" s="3">
        <v>7551288</v>
      </c>
      <c r="H208" s="3">
        <v>2888.84</v>
      </c>
      <c r="I208" s="3">
        <v>1128451608</v>
      </c>
      <c r="J208" s="7">
        <f t="shared" si="9"/>
        <v>34.455979121830154</v>
      </c>
      <c r="K208" s="19">
        <f t="shared" si="8"/>
        <v>47.1264367816092</v>
      </c>
    </row>
    <row r="209" spans="1:11" ht="15" customHeight="1" x14ac:dyDescent="0.2">
      <c r="A209" t="s">
        <v>9</v>
      </c>
      <c r="B209" s="9" t="s">
        <v>56</v>
      </c>
      <c r="C209" s="7">
        <v>2.4900000000000002</v>
      </c>
      <c r="D209" s="7">
        <v>2.52</v>
      </c>
      <c r="E209" s="7">
        <v>2.4300000000000002</v>
      </c>
      <c r="F209" s="7">
        <v>2.4900000000000002</v>
      </c>
      <c r="G209" s="3">
        <v>4814698</v>
      </c>
      <c r="H209" s="3">
        <v>2810.09</v>
      </c>
      <c r="I209" s="3">
        <v>1128548275</v>
      </c>
      <c r="J209" s="7">
        <f t="shared" si="9"/>
        <v>33.513823442717616</v>
      </c>
      <c r="K209" s="19">
        <f t="shared" si="8"/>
        <v>43.103448275862085</v>
      </c>
    </row>
    <row r="210" spans="1:11" ht="15" customHeight="1" x14ac:dyDescent="0.2">
      <c r="A210" t="s">
        <v>9</v>
      </c>
      <c r="B210" s="9" t="s">
        <v>55</v>
      </c>
      <c r="C210" s="7">
        <v>2.4700000000000002</v>
      </c>
      <c r="D210" s="7">
        <v>2.5299999999999998</v>
      </c>
      <c r="E210" s="7">
        <v>2.4500000000000002</v>
      </c>
      <c r="F210" s="7">
        <v>2.5299999999999998</v>
      </c>
      <c r="G210" s="3">
        <v>3463120</v>
      </c>
      <c r="H210" s="3">
        <v>2855.23</v>
      </c>
      <c r="I210" s="3">
        <v>1128548275</v>
      </c>
      <c r="J210" s="7">
        <f t="shared" si="9"/>
        <v>34.052198116496207</v>
      </c>
      <c r="K210" s="19">
        <f t="shared" si="8"/>
        <v>45.402298850574702</v>
      </c>
    </row>
    <row r="211" spans="1:11" ht="15" customHeight="1" x14ac:dyDescent="0.2">
      <c r="A211" t="s">
        <v>9</v>
      </c>
      <c r="B211" s="9" t="s">
        <v>54</v>
      </c>
      <c r="C211" s="7">
        <v>2.5</v>
      </c>
      <c r="D211" s="7">
        <v>2.5049999999999999</v>
      </c>
      <c r="E211" s="7">
        <v>2.42</v>
      </c>
      <c r="F211" s="7">
        <v>2.44</v>
      </c>
      <c r="G211" s="3">
        <v>3246009</v>
      </c>
      <c r="H211" s="3">
        <v>2753.66</v>
      </c>
      <c r="I211" s="3">
        <v>1128548275</v>
      </c>
      <c r="J211" s="7">
        <f t="shared" si="9"/>
        <v>32.840855100494366</v>
      </c>
      <c r="K211" s="19">
        <f t="shared" si="8"/>
        <v>40.229885057471257</v>
      </c>
    </row>
    <row r="212" spans="1:11" ht="15" customHeight="1" x14ac:dyDescent="0.2">
      <c r="A212" t="s">
        <v>9</v>
      </c>
      <c r="B212" s="9" t="s">
        <v>53</v>
      </c>
      <c r="C212" s="7">
        <v>2.46</v>
      </c>
      <c r="D212" s="7">
        <v>2.4950000000000001</v>
      </c>
      <c r="E212" s="7">
        <v>2.42</v>
      </c>
      <c r="F212" s="7">
        <v>2.4700000000000002</v>
      </c>
      <c r="G212" s="3">
        <v>3844996</v>
      </c>
      <c r="H212" s="3">
        <v>2787.51</v>
      </c>
      <c r="I212" s="3">
        <v>1128548275</v>
      </c>
      <c r="J212" s="7">
        <f t="shared" si="9"/>
        <v>33.244636105828313</v>
      </c>
      <c r="K212" s="19">
        <f t="shared" si="8"/>
        <v>41.954022988505756</v>
      </c>
    </row>
    <row r="213" spans="1:11" ht="15" customHeight="1" x14ac:dyDescent="0.2">
      <c r="A213" t="s">
        <v>9</v>
      </c>
      <c r="B213" s="9" t="s">
        <v>52</v>
      </c>
      <c r="C213" s="7">
        <v>2.5</v>
      </c>
      <c r="D213" s="7">
        <v>2.5049999999999999</v>
      </c>
      <c r="E213" s="7">
        <v>2.39</v>
      </c>
      <c r="F213" s="7">
        <v>2.44</v>
      </c>
      <c r="G213" s="3">
        <v>5448323</v>
      </c>
      <c r="H213" s="3">
        <v>2753.66</v>
      </c>
      <c r="I213" s="3">
        <v>1128548275</v>
      </c>
      <c r="J213" s="7">
        <f t="shared" si="9"/>
        <v>32.840855100494366</v>
      </c>
      <c r="K213" s="19">
        <f t="shared" si="8"/>
        <v>40.229885057471257</v>
      </c>
    </row>
    <row r="214" spans="1:11" ht="15" customHeight="1" x14ac:dyDescent="0.2">
      <c r="A214" t="s">
        <v>9</v>
      </c>
      <c r="B214" s="9" t="s">
        <v>51</v>
      </c>
      <c r="C214" s="7">
        <v>2.4</v>
      </c>
      <c r="D214" s="7">
        <v>2.46</v>
      </c>
      <c r="E214" s="7">
        <v>2.38</v>
      </c>
      <c r="F214" s="7">
        <v>2.4500000000000002</v>
      </c>
      <c r="G214" s="3">
        <v>2881964</v>
      </c>
      <c r="H214" s="3">
        <v>2764.94</v>
      </c>
      <c r="I214" s="3">
        <v>1128548275</v>
      </c>
      <c r="J214" s="7">
        <f t="shared" si="9"/>
        <v>32.975448768939017</v>
      </c>
      <c r="K214" s="19">
        <f t="shared" si="8"/>
        <v>40.804597701149433</v>
      </c>
    </row>
    <row r="215" spans="1:11" ht="15" customHeight="1" x14ac:dyDescent="0.2">
      <c r="A215" t="s">
        <v>9</v>
      </c>
      <c r="B215" s="9" t="s">
        <v>50</v>
      </c>
      <c r="C215" s="7">
        <v>2.4</v>
      </c>
      <c r="D215" s="7">
        <v>2.4</v>
      </c>
      <c r="E215" s="7">
        <v>2.33</v>
      </c>
      <c r="F215" s="7">
        <v>2.34</v>
      </c>
      <c r="G215" s="3">
        <v>3413532</v>
      </c>
      <c r="H215" s="3">
        <v>2640.8</v>
      </c>
      <c r="I215" s="3">
        <v>1128548275</v>
      </c>
      <c r="J215" s="7">
        <f t="shared" si="9"/>
        <v>31.494918416047874</v>
      </c>
      <c r="K215" s="19">
        <f t="shared" si="8"/>
        <v>34.482758620689644</v>
      </c>
    </row>
    <row r="216" spans="1:11" ht="15" customHeight="1" x14ac:dyDescent="0.2">
      <c r="A216" t="s">
        <v>9</v>
      </c>
      <c r="B216" s="9" t="s">
        <v>49</v>
      </c>
      <c r="C216" s="7">
        <v>2.34</v>
      </c>
      <c r="D216" s="7">
        <v>2.36</v>
      </c>
      <c r="E216" s="7">
        <v>2.2999999999999998</v>
      </c>
      <c r="F216" s="7">
        <v>2.3199999999999998</v>
      </c>
      <c r="G216" s="3">
        <v>2755834</v>
      </c>
      <c r="H216" s="3">
        <v>2618.23</v>
      </c>
      <c r="I216" s="3">
        <v>1128548275</v>
      </c>
      <c r="J216" s="7">
        <f t="shared" si="9"/>
        <v>31.225731079158574</v>
      </c>
      <c r="K216" s="19">
        <f t="shared" si="8"/>
        <v>33.333333333333329</v>
      </c>
    </row>
    <row r="217" spans="1:11" ht="15" customHeight="1" x14ac:dyDescent="0.2">
      <c r="A217" t="s">
        <v>9</v>
      </c>
      <c r="B217" s="9" t="s">
        <v>48</v>
      </c>
      <c r="C217" s="7">
        <v>2.2999999999999998</v>
      </c>
      <c r="D217" s="7">
        <v>2.31</v>
      </c>
      <c r="E217" s="7">
        <v>2.25</v>
      </c>
      <c r="F217" s="7">
        <v>2.2599999999999998</v>
      </c>
      <c r="G217" s="3">
        <v>1899409</v>
      </c>
      <c r="H217" s="3">
        <v>2550.52</v>
      </c>
      <c r="I217" s="3">
        <v>1128548275</v>
      </c>
      <c r="J217" s="7">
        <f t="shared" si="9"/>
        <v>30.41816906849068</v>
      </c>
      <c r="K217" s="19">
        <f t="shared" si="8"/>
        <v>29.885057471264354</v>
      </c>
    </row>
    <row r="218" spans="1:11" ht="15" customHeight="1" x14ac:dyDescent="0.2">
      <c r="A218" t="s">
        <v>9</v>
      </c>
      <c r="B218" s="9" t="s">
        <v>47</v>
      </c>
      <c r="C218" s="7">
        <v>2.2599999999999998</v>
      </c>
      <c r="D218" s="7">
        <v>2.2999999999999998</v>
      </c>
      <c r="E218" s="7">
        <v>2.19</v>
      </c>
      <c r="F218" s="7">
        <v>2.23</v>
      </c>
      <c r="G218" s="3">
        <v>3603986</v>
      </c>
      <c r="H218" s="3">
        <v>2516.66</v>
      </c>
      <c r="I218" s="3">
        <v>1128548275</v>
      </c>
      <c r="J218" s="7">
        <f t="shared" si="9"/>
        <v>30.014388063156733</v>
      </c>
      <c r="K218" s="19">
        <f t="shared" si="8"/>
        <v>28.160919540229884</v>
      </c>
    </row>
    <row r="219" spans="1:11" ht="15" customHeight="1" x14ac:dyDescent="0.2">
      <c r="A219" t="s">
        <v>9</v>
      </c>
      <c r="B219" s="9" t="s">
        <v>46</v>
      </c>
      <c r="C219" s="7">
        <v>2.17</v>
      </c>
      <c r="D219" s="7">
        <v>2.17</v>
      </c>
      <c r="E219" s="7">
        <v>2.09</v>
      </c>
      <c r="F219" s="7">
        <v>2.14</v>
      </c>
      <c r="G219" s="3">
        <v>7539723</v>
      </c>
      <c r="H219" s="3">
        <v>2415.09</v>
      </c>
      <c r="I219" s="3">
        <v>1128548275</v>
      </c>
      <c r="J219" s="7">
        <f t="shared" si="9"/>
        <v>28.803045047154896</v>
      </c>
      <c r="K219" s="19">
        <f t="shared" si="8"/>
        <v>22.988505747126446</v>
      </c>
    </row>
    <row r="220" spans="1:11" ht="15" customHeight="1" x14ac:dyDescent="0.2">
      <c r="A220" t="s">
        <v>9</v>
      </c>
      <c r="B220" s="9" t="s">
        <v>45</v>
      </c>
      <c r="C220" s="7">
        <v>2.19</v>
      </c>
      <c r="D220" s="7">
        <v>2.2599999999999998</v>
      </c>
      <c r="E220" s="7">
        <v>2.1749999999999998</v>
      </c>
      <c r="F220" s="7">
        <v>2.2400000000000002</v>
      </c>
      <c r="G220" s="3">
        <v>6161301</v>
      </c>
      <c r="H220" s="3">
        <v>2527.9499999999998</v>
      </c>
      <c r="I220" s="3">
        <v>1128548275</v>
      </c>
      <c r="J220" s="7">
        <f t="shared" si="9"/>
        <v>30.148981731601388</v>
      </c>
      <c r="K220" s="19">
        <f t="shared" si="8"/>
        <v>28.735632183908059</v>
      </c>
    </row>
    <row r="221" spans="1:11" ht="15" customHeight="1" x14ac:dyDescent="0.2">
      <c r="A221" t="s">
        <v>9</v>
      </c>
      <c r="B221" s="9" t="s">
        <v>44</v>
      </c>
      <c r="C221" s="7">
        <v>2.23</v>
      </c>
      <c r="D221" s="7">
        <v>2.35</v>
      </c>
      <c r="E221" s="7">
        <v>2.23</v>
      </c>
      <c r="F221" s="7">
        <v>2.33</v>
      </c>
      <c r="G221" s="3">
        <v>4492287</v>
      </c>
      <c r="H221" s="3">
        <v>2629.52</v>
      </c>
      <c r="I221" s="3">
        <v>1128548275</v>
      </c>
      <c r="J221" s="7">
        <f t="shared" si="9"/>
        <v>31.360324747603226</v>
      </c>
      <c r="K221" s="19">
        <f t="shared" si="8"/>
        <v>33.908045977011497</v>
      </c>
    </row>
    <row r="222" spans="1:11" ht="15" customHeight="1" x14ac:dyDescent="0.2">
      <c r="A222" t="s">
        <v>9</v>
      </c>
      <c r="B222" s="9" t="s">
        <v>43</v>
      </c>
      <c r="C222" s="7">
        <v>2.2400000000000002</v>
      </c>
      <c r="D222" s="7">
        <v>2.31</v>
      </c>
      <c r="E222" s="7">
        <v>2.2000000000000002</v>
      </c>
      <c r="F222" s="7">
        <v>2.2999999999999998</v>
      </c>
      <c r="G222" s="3">
        <v>7894703</v>
      </c>
      <c r="H222" s="3">
        <v>2595.66</v>
      </c>
      <c r="I222" s="3">
        <v>1128548275</v>
      </c>
      <c r="J222" s="7">
        <f t="shared" si="9"/>
        <v>30.956543742269275</v>
      </c>
      <c r="K222" s="19">
        <f t="shared" si="8"/>
        <v>32.183908045976999</v>
      </c>
    </row>
    <row r="223" spans="1:11" ht="15" customHeight="1" x14ac:dyDescent="0.2">
      <c r="A223" t="s">
        <v>9</v>
      </c>
      <c r="B223" s="9" t="s">
        <v>42</v>
      </c>
      <c r="C223" s="7">
        <v>2.2799999999999998</v>
      </c>
      <c r="D223" s="7">
        <v>2.335</v>
      </c>
      <c r="E223" s="7">
        <v>2.2599999999999998</v>
      </c>
      <c r="F223" s="7">
        <v>2.2999999999999998</v>
      </c>
      <c r="G223" s="3">
        <v>5404955</v>
      </c>
      <c r="H223" s="3">
        <v>2595.66</v>
      </c>
      <c r="I223" s="3">
        <v>1128548275</v>
      </c>
      <c r="J223" s="7">
        <f t="shared" si="9"/>
        <v>30.956543742269275</v>
      </c>
      <c r="K223" s="19">
        <f t="shared" si="8"/>
        <v>32.183908045976999</v>
      </c>
    </row>
    <row r="224" spans="1:11" ht="15" customHeight="1" x14ac:dyDescent="0.2">
      <c r="A224" t="s">
        <v>9</v>
      </c>
      <c r="B224" s="9" t="s">
        <v>41</v>
      </c>
      <c r="C224" s="7">
        <v>2.2799999999999998</v>
      </c>
      <c r="D224" s="7">
        <v>2.29</v>
      </c>
      <c r="E224" s="7">
        <v>2.21</v>
      </c>
      <c r="F224" s="7">
        <v>2.23</v>
      </c>
      <c r="G224" s="3">
        <v>4158116</v>
      </c>
      <c r="H224" s="3">
        <v>2516.66</v>
      </c>
      <c r="I224" s="3">
        <v>1128548275</v>
      </c>
      <c r="J224" s="7">
        <f t="shared" si="9"/>
        <v>30.014388063156733</v>
      </c>
      <c r="K224" s="19">
        <f t="shared" si="8"/>
        <v>28.160919540229884</v>
      </c>
    </row>
    <row r="225" spans="1:11" ht="15" customHeight="1" x14ac:dyDescent="0.2">
      <c r="A225" t="s">
        <v>9</v>
      </c>
      <c r="B225" s="9" t="s">
        <v>40</v>
      </c>
      <c r="C225" s="7">
        <v>2.2999999999999998</v>
      </c>
      <c r="D225" s="7">
        <v>2.31</v>
      </c>
      <c r="E225" s="7">
        <v>2.2400000000000002</v>
      </c>
      <c r="F225" s="7">
        <v>2.27</v>
      </c>
      <c r="G225" s="3">
        <v>2173065</v>
      </c>
      <c r="H225" s="3">
        <v>2561.8000000000002</v>
      </c>
      <c r="I225" s="3">
        <v>1128548275</v>
      </c>
      <c r="J225" s="7">
        <f t="shared" si="9"/>
        <v>30.552762736935332</v>
      </c>
      <c r="K225" s="19">
        <f t="shared" si="8"/>
        <v>30.459770114942529</v>
      </c>
    </row>
    <row r="226" spans="1:11" ht="15" customHeight="1" x14ac:dyDescent="0.2">
      <c r="A226" t="s">
        <v>9</v>
      </c>
      <c r="B226" s="9" t="s">
        <v>39</v>
      </c>
      <c r="C226" s="7">
        <v>2.27</v>
      </c>
      <c r="D226" s="7">
        <v>2.36</v>
      </c>
      <c r="E226" s="7">
        <v>2.2599999999999998</v>
      </c>
      <c r="F226" s="7">
        <v>2.31</v>
      </c>
      <c r="G226" s="3">
        <v>3595353</v>
      </c>
      <c r="H226" s="3">
        <v>2606.9499999999998</v>
      </c>
      <c r="I226" s="3">
        <v>1128548275</v>
      </c>
      <c r="J226" s="7">
        <f t="shared" si="9"/>
        <v>31.091137410713927</v>
      </c>
      <c r="K226" s="19">
        <f t="shared" si="8"/>
        <v>32.758620689655174</v>
      </c>
    </row>
    <row r="227" spans="1:11" ht="15" customHeight="1" x14ac:dyDescent="0.2">
      <c r="A227" t="s">
        <v>9</v>
      </c>
      <c r="B227" s="9" t="s">
        <v>38</v>
      </c>
      <c r="C227" s="7">
        <v>2.34</v>
      </c>
      <c r="D227" s="7">
        <v>2.4500000000000002</v>
      </c>
      <c r="E227" s="7">
        <v>2.34</v>
      </c>
      <c r="F227" s="7">
        <v>2.42</v>
      </c>
      <c r="G227" s="3">
        <v>3618639</v>
      </c>
      <c r="H227" s="3">
        <v>2731.09</v>
      </c>
      <c r="I227" s="3">
        <v>1128548275</v>
      </c>
      <c r="J227" s="7">
        <f t="shared" si="9"/>
        <v>32.571667763605063</v>
      </c>
      <c r="K227" s="19">
        <f t="shared" si="8"/>
        <v>39.080459770114942</v>
      </c>
    </row>
    <row r="228" spans="1:11" ht="15" customHeight="1" x14ac:dyDescent="0.2">
      <c r="A228" t="s">
        <v>9</v>
      </c>
      <c r="B228" s="9" t="s">
        <v>37</v>
      </c>
      <c r="C228" s="7">
        <v>2.46</v>
      </c>
      <c r="D228" s="7">
        <v>2.5</v>
      </c>
      <c r="E228" s="7">
        <v>2.4550000000000001</v>
      </c>
      <c r="F228" s="7">
        <v>2.4700000000000002</v>
      </c>
      <c r="G228" s="3">
        <v>3400882</v>
      </c>
      <c r="H228" s="3">
        <v>2787.51</v>
      </c>
      <c r="I228" s="3">
        <v>1128548275</v>
      </c>
      <c r="J228" s="7">
        <f t="shared" si="9"/>
        <v>33.244636105828313</v>
      </c>
      <c r="K228" s="19">
        <f t="shared" si="8"/>
        <v>41.954022988505756</v>
      </c>
    </row>
    <row r="229" spans="1:11" ht="15" customHeight="1" x14ac:dyDescent="0.2">
      <c r="A229" t="s">
        <v>9</v>
      </c>
      <c r="B229" s="9" t="s">
        <v>36</v>
      </c>
      <c r="C229" s="7">
        <v>2.5</v>
      </c>
      <c r="D229" s="7">
        <v>2.5</v>
      </c>
      <c r="E229" s="7">
        <v>2.46</v>
      </c>
      <c r="F229" s="7">
        <v>2.48</v>
      </c>
      <c r="G229" s="3">
        <v>2735831</v>
      </c>
      <c r="H229" s="3">
        <v>2798.8</v>
      </c>
      <c r="I229" s="3">
        <v>1128548275</v>
      </c>
      <c r="J229" s="7">
        <f t="shared" si="9"/>
        <v>33.379229774272964</v>
      </c>
      <c r="K229" s="19">
        <f t="shared" si="8"/>
        <v>42.528735632183903</v>
      </c>
    </row>
    <row r="230" spans="1:11" ht="15" customHeight="1" x14ac:dyDescent="0.2">
      <c r="A230" t="s">
        <v>9</v>
      </c>
      <c r="B230" s="9" t="s">
        <v>35</v>
      </c>
      <c r="C230" s="7">
        <v>2.5</v>
      </c>
      <c r="D230" s="7">
        <v>2.5299999999999998</v>
      </c>
      <c r="E230" s="7">
        <v>2.4900000000000002</v>
      </c>
      <c r="F230" s="7">
        <v>2.5</v>
      </c>
      <c r="G230" s="3">
        <v>2470390</v>
      </c>
      <c r="H230" s="3">
        <v>2821.37</v>
      </c>
      <c r="I230" s="3">
        <v>1128548275</v>
      </c>
      <c r="J230" s="7">
        <f t="shared" si="9"/>
        <v>33.64841711116226</v>
      </c>
      <c r="K230" s="19">
        <f t="shared" si="8"/>
        <v>43.678160919540232</v>
      </c>
    </row>
    <row r="231" spans="1:11" ht="15" customHeight="1" x14ac:dyDescent="0.2">
      <c r="A231" t="s">
        <v>9</v>
      </c>
      <c r="B231" s="9" t="s">
        <v>34</v>
      </c>
      <c r="C231" s="7">
        <v>2.5299999999999998</v>
      </c>
      <c r="D231" s="7">
        <v>2.54</v>
      </c>
      <c r="E231" s="7">
        <v>2.4500000000000002</v>
      </c>
      <c r="F231" s="7">
        <v>2.48</v>
      </c>
      <c r="G231" s="3">
        <v>7990298</v>
      </c>
      <c r="H231" s="3">
        <v>2798.8</v>
      </c>
      <c r="I231" s="3">
        <v>1128548275</v>
      </c>
      <c r="J231" s="7">
        <f t="shared" si="9"/>
        <v>33.379229774272964</v>
      </c>
      <c r="K231" s="19">
        <f t="shared" si="8"/>
        <v>42.528735632183903</v>
      </c>
    </row>
    <row r="232" spans="1:11" ht="15" customHeight="1" x14ac:dyDescent="0.2">
      <c r="A232" t="s">
        <v>9</v>
      </c>
      <c r="B232" s="9" t="s">
        <v>33</v>
      </c>
      <c r="C232" s="7">
        <v>2.44</v>
      </c>
      <c r="D232" s="7">
        <v>2.4700000000000002</v>
      </c>
      <c r="E232" s="7">
        <v>2.41</v>
      </c>
      <c r="F232" s="7">
        <v>2.4300000000000002</v>
      </c>
      <c r="G232" s="3">
        <v>2980772</v>
      </c>
      <c r="H232" s="3">
        <v>2742.37</v>
      </c>
      <c r="I232" s="3">
        <v>1128548275</v>
      </c>
      <c r="J232" s="7">
        <f t="shared" si="9"/>
        <v>32.706261432049715</v>
      </c>
      <c r="K232" s="19">
        <f t="shared" si="8"/>
        <v>39.655172413793117</v>
      </c>
    </row>
    <row r="233" spans="1:11" ht="15" customHeight="1" x14ac:dyDescent="0.2">
      <c r="A233" t="s">
        <v>9</v>
      </c>
      <c r="B233" s="9" t="s">
        <v>32</v>
      </c>
      <c r="C233" s="7">
        <v>2.5099999999999998</v>
      </c>
      <c r="D233" s="7">
        <v>2.5550000000000002</v>
      </c>
      <c r="E233" s="7">
        <v>2.5099999999999998</v>
      </c>
      <c r="F233" s="7">
        <v>2.52</v>
      </c>
      <c r="G233" s="3">
        <v>2542109</v>
      </c>
      <c r="H233" s="3">
        <v>2843.94</v>
      </c>
      <c r="I233" s="3">
        <v>1128548275</v>
      </c>
      <c r="J233" s="7">
        <f t="shared" si="9"/>
        <v>33.917604448051556</v>
      </c>
      <c r="K233" s="19">
        <f t="shared" si="8"/>
        <v>44.827586206896555</v>
      </c>
    </row>
    <row r="234" spans="1:11" ht="15" customHeight="1" x14ac:dyDescent="0.2">
      <c r="A234" t="s">
        <v>9</v>
      </c>
      <c r="B234" s="9" t="s">
        <v>31</v>
      </c>
      <c r="C234" s="7">
        <v>2.54</v>
      </c>
      <c r="D234" s="7">
        <v>2.58</v>
      </c>
      <c r="E234" s="7">
        <v>2.52</v>
      </c>
      <c r="F234" s="7">
        <v>2.52</v>
      </c>
      <c r="G234" s="3">
        <v>2182596</v>
      </c>
      <c r="H234" s="3">
        <v>2843.94</v>
      </c>
      <c r="I234" s="3">
        <v>1128548275</v>
      </c>
      <c r="J234" s="7">
        <f t="shared" si="9"/>
        <v>33.917604448051556</v>
      </c>
      <c r="K234" s="19">
        <f t="shared" si="8"/>
        <v>44.827586206896555</v>
      </c>
    </row>
    <row r="235" spans="1:11" ht="15" customHeight="1" x14ac:dyDescent="0.2">
      <c r="A235" t="s">
        <v>9</v>
      </c>
      <c r="B235" s="9" t="s">
        <v>30</v>
      </c>
      <c r="C235" s="7">
        <v>2.52</v>
      </c>
      <c r="D235" s="7">
        <v>2.54</v>
      </c>
      <c r="E235" s="7">
        <v>2.48</v>
      </c>
      <c r="F235" s="7">
        <v>2.5299999999999998</v>
      </c>
      <c r="G235" s="3">
        <v>1871621</v>
      </c>
      <c r="H235" s="3">
        <v>2855.23</v>
      </c>
      <c r="I235" s="3">
        <v>1128548275</v>
      </c>
      <c r="J235" s="7">
        <f t="shared" si="9"/>
        <v>34.052198116496207</v>
      </c>
      <c r="K235" s="19">
        <f t="shared" si="8"/>
        <v>45.402298850574702</v>
      </c>
    </row>
    <row r="236" spans="1:11" ht="15" customHeight="1" x14ac:dyDescent="0.2">
      <c r="A236" t="s">
        <v>9</v>
      </c>
      <c r="B236" s="9" t="s">
        <v>29</v>
      </c>
      <c r="C236" s="7">
        <v>2.5299999999999998</v>
      </c>
      <c r="D236" s="7">
        <v>2.56</v>
      </c>
      <c r="E236" s="7">
        <v>2.4649999999999999</v>
      </c>
      <c r="F236" s="7">
        <v>2.4900000000000002</v>
      </c>
      <c r="G236" s="3">
        <v>1854496</v>
      </c>
      <c r="H236" s="3">
        <v>2810.09</v>
      </c>
      <c r="I236" s="3">
        <v>1128548275</v>
      </c>
      <c r="J236" s="7">
        <f t="shared" si="9"/>
        <v>33.513823442717616</v>
      </c>
      <c r="K236" s="19">
        <f t="shared" si="8"/>
        <v>43.103448275862085</v>
      </c>
    </row>
    <row r="237" spans="1:11" ht="15" customHeight="1" x14ac:dyDescent="0.2">
      <c r="A237" t="s">
        <v>9</v>
      </c>
      <c r="B237" s="9" t="s">
        <v>28</v>
      </c>
      <c r="C237" s="7">
        <v>2.4900000000000002</v>
      </c>
      <c r="D237" s="7">
        <v>2.5</v>
      </c>
      <c r="E237" s="7">
        <v>2.4300000000000002</v>
      </c>
      <c r="F237" s="7">
        <v>2.4300000000000002</v>
      </c>
      <c r="G237" s="3">
        <v>3434680</v>
      </c>
      <c r="H237" s="3">
        <v>2742.37</v>
      </c>
      <c r="I237" s="3">
        <v>1128548275</v>
      </c>
      <c r="J237" s="7">
        <f t="shared" si="9"/>
        <v>32.706261432049715</v>
      </c>
      <c r="K237" s="19">
        <f t="shared" si="8"/>
        <v>39.655172413793117</v>
      </c>
    </row>
    <row r="238" spans="1:11" ht="15" customHeight="1" x14ac:dyDescent="0.2">
      <c r="A238" t="s">
        <v>9</v>
      </c>
      <c r="B238" s="9" t="s">
        <v>27</v>
      </c>
      <c r="C238" s="7">
        <v>2.44</v>
      </c>
      <c r="D238" s="7">
        <v>2.46</v>
      </c>
      <c r="E238" s="7">
        <v>2.4</v>
      </c>
      <c r="F238" s="7">
        <v>2.41</v>
      </c>
      <c r="G238" s="3">
        <v>2193567</v>
      </c>
      <c r="H238" s="3">
        <v>2719.8</v>
      </c>
      <c r="I238" s="3">
        <v>1128548275</v>
      </c>
      <c r="J238" s="7">
        <f t="shared" si="9"/>
        <v>32.437074095160419</v>
      </c>
      <c r="K238" s="19">
        <f t="shared" si="8"/>
        <v>38.505747126436788</v>
      </c>
    </row>
    <row r="239" spans="1:11" ht="15" customHeight="1" x14ac:dyDescent="0.2">
      <c r="A239" t="s">
        <v>9</v>
      </c>
      <c r="B239" s="9" t="s">
        <v>26</v>
      </c>
      <c r="C239" s="7">
        <v>2.4900000000000002</v>
      </c>
      <c r="D239" s="7">
        <v>2.63</v>
      </c>
      <c r="E239" s="7">
        <v>2.4500000000000002</v>
      </c>
      <c r="F239" s="7">
        <v>2.63</v>
      </c>
      <c r="G239" s="3">
        <v>4855019</v>
      </c>
      <c r="H239" s="3">
        <v>2968.08</v>
      </c>
      <c r="I239" s="3">
        <v>1128548275</v>
      </c>
      <c r="J239" s="7">
        <f t="shared" si="9"/>
        <v>35.398134800942692</v>
      </c>
      <c r="K239" s="19">
        <f t="shared" si="8"/>
        <v>51.149425287356323</v>
      </c>
    </row>
    <row r="240" spans="1:11" ht="15" customHeight="1" x14ac:dyDescent="0.2">
      <c r="A240" t="s">
        <v>9</v>
      </c>
      <c r="B240" s="9" t="s">
        <v>25</v>
      </c>
      <c r="C240" s="7">
        <v>2.61</v>
      </c>
      <c r="D240" s="7">
        <v>2.68</v>
      </c>
      <c r="E240" s="7">
        <v>2.57</v>
      </c>
      <c r="F240" s="7">
        <v>2.62</v>
      </c>
      <c r="G240" s="3">
        <v>3017244</v>
      </c>
      <c r="H240" s="3">
        <v>2956.8</v>
      </c>
      <c r="I240" s="3">
        <v>1128548275</v>
      </c>
      <c r="J240" s="7">
        <f t="shared" si="9"/>
        <v>35.263541132498048</v>
      </c>
      <c r="K240" s="19">
        <f t="shared" si="8"/>
        <v>50.574712643678168</v>
      </c>
    </row>
    <row r="241" spans="1:11" ht="15" customHeight="1" x14ac:dyDescent="0.2">
      <c r="A241" t="s">
        <v>9</v>
      </c>
      <c r="B241" s="9" t="s">
        <v>24</v>
      </c>
      <c r="C241" s="7">
        <v>2.59</v>
      </c>
      <c r="D241" s="7">
        <v>2.69</v>
      </c>
      <c r="E241" s="7">
        <v>2.59</v>
      </c>
      <c r="F241" s="7">
        <v>2.67</v>
      </c>
      <c r="G241" s="3">
        <v>1705258</v>
      </c>
      <c r="H241" s="3">
        <v>3013.54</v>
      </c>
      <c r="I241" s="3">
        <v>1128664943</v>
      </c>
      <c r="J241" s="7">
        <f t="shared" si="9"/>
        <v>35.936509474721291</v>
      </c>
      <c r="K241" s="19">
        <f t="shared" si="8"/>
        <v>53.448275862068961</v>
      </c>
    </row>
    <row r="242" spans="1:11" ht="15" customHeight="1" x14ac:dyDescent="0.2">
      <c r="A242" t="s">
        <v>9</v>
      </c>
      <c r="B242" s="9" t="s">
        <v>23</v>
      </c>
      <c r="C242" s="7">
        <v>2.75</v>
      </c>
      <c r="D242" s="7">
        <v>2.8149999999999999</v>
      </c>
      <c r="E242" s="7">
        <v>2.7</v>
      </c>
      <c r="F242" s="7">
        <v>2.74</v>
      </c>
      <c r="G242" s="3">
        <v>3622908</v>
      </c>
      <c r="H242" s="3">
        <v>3092.54</v>
      </c>
      <c r="I242" s="3">
        <v>1128664943</v>
      </c>
      <c r="J242" s="7">
        <f t="shared" si="9"/>
        <v>36.878665153833836</v>
      </c>
      <c r="K242" s="19">
        <f t="shared" si="8"/>
        <v>57.471264367816097</v>
      </c>
    </row>
    <row r="243" spans="1:11" ht="15" customHeight="1" x14ac:dyDescent="0.2">
      <c r="A243" t="s">
        <v>9</v>
      </c>
      <c r="B243" s="9" t="s">
        <v>22</v>
      </c>
      <c r="C243" s="7">
        <v>2.76</v>
      </c>
      <c r="D243" s="7">
        <v>2.8</v>
      </c>
      <c r="E243" s="7">
        <v>2.7349999999999999</v>
      </c>
      <c r="F243" s="7">
        <v>2.77</v>
      </c>
      <c r="G243" s="3">
        <v>2566892</v>
      </c>
      <c r="H243" s="3">
        <v>3126.4</v>
      </c>
      <c r="I243" s="3">
        <v>1128664943</v>
      </c>
      <c r="J243" s="7">
        <f t="shared" si="9"/>
        <v>37.282446159167783</v>
      </c>
      <c r="K243" s="19">
        <f t="shared" si="8"/>
        <v>59.195402298850574</v>
      </c>
    </row>
    <row r="244" spans="1:11" ht="15" customHeight="1" x14ac:dyDescent="0.2">
      <c r="A244" t="s">
        <v>9</v>
      </c>
      <c r="B244" s="9" t="s">
        <v>21</v>
      </c>
      <c r="C244" s="7">
        <v>2.85</v>
      </c>
      <c r="D244" s="7">
        <v>2.85</v>
      </c>
      <c r="E244" s="7">
        <v>2.74</v>
      </c>
      <c r="F244" s="7">
        <v>2.74</v>
      </c>
      <c r="G244" s="3">
        <v>1646526</v>
      </c>
      <c r="H244" s="3">
        <v>3092.54</v>
      </c>
      <c r="I244" s="3">
        <v>1128664943</v>
      </c>
      <c r="J244" s="7">
        <f t="shared" si="9"/>
        <v>36.878665153833836</v>
      </c>
      <c r="K244" s="19">
        <f t="shared" si="8"/>
        <v>57.471264367816097</v>
      </c>
    </row>
    <row r="245" spans="1:11" ht="15" customHeight="1" x14ac:dyDescent="0.2">
      <c r="A245" t="s">
        <v>9</v>
      </c>
      <c r="B245" s="9" t="s">
        <v>20</v>
      </c>
      <c r="C245" s="7">
        <v>2.73</v>
      </c>
      <c r="D245" s="7">
        <v>2.73</v>
      </c>
      <c r="E245" s="7">
        <v>2.66</v>
      </c>
      <c r="F245" s="7">
        <v>2.71</v>
      </c>
      <c r="G245" s="3">
        <v>3944280</v>
      </c>
      <c r="H245" s="3">
        <v>3058.68</v>
      </c>
      <c r="I245" s="3">
        <v>1128664943</v>
      </c>
      <c r="J245" s="7">
        <f t="shared" si="9"/>
        <v>36.474884148499889</v>
      </c>
      <c r="K245" s="19">
        <f t="shared" si="8"/>
        <v>55.747126436781613</v>
      </c>
    </row>
    <row r="246" spans="1:11" ht="15" customHeight="1" x14ac:dyDescent="0.2">
      <c r="A246" t="s">
        <v>9</v>
      </c>
      <c r="B246" s="9" t="s">
        <v>19</v>
      </c>
      <c r="C246" s="7">
        <v>2.66</v>
      </c>
      <c r="D246" s="7">
        <v>2.67</v>
      </c>
      <c r="E246" s="7">
        <v>2.59</v>
      </c>
      <c r="F246" s="7">
        <v>2.61</v>
      </c>
      <c r="G246" s="3">
        <v>2127546</v>
      </c>
      <c r="H246" s="3">
        <v>2945.82</v>
      </c>
      <c r="I246" s="3">
        <v>1128664943</v>
      </c>
      <c r="J246" s="7">
        <f t="shared" si="9"/>
        <v>35.128947464053397</v>
      </c>
      <c r="K246" s="19">
        <f t="shared" si="8"/>
        <v>49.999999999999993</v>
      </c>
    </row>
    <row r="247" spans="1:11" ht="15" customHeight="1" x14ac:dyDescent="0.2">
      <c r="A247" t="s">
        <v>9</v>
      </c>
      <c r="B247" s="9" t="s">
        <v>18</v>
      </c>
      <c r="C247" s="7">
        <v>2.58</v>
      </c>
      <c r="D247" s="7">
        <v>2.64</v>
      </c>
      <c r="E247" s="7">
        <v>2.57</v>
      </c>
      <c r="F247" s="7">
        <v>2.63</v>
      </c>
      <c r="G247" s="3">
        <v>1753132</v>
      </c>
      <c r="H247" s="3">
        <v>2968.39</v>
      </c>
      <c r="I247" s="3">
        <v>1128664943</v>
      </c>
      <c r="J247" s="7">
        <f t="shared" si="9"/>
        <v>35.398134800942692</v>
      </c>
      <c r="K247" s="19">
        <f t="shared" si="8"/>
        <v>51.149425287356323</v>
      </c>
    </row>
    <row r="248" spans="1:11" ht="15" customHeight="1" x14ac:dyDescent="0.2">
      <c r="A248" t="s">
        <v>9</v>
      </c>
      <c r="B248" s="9" t="s">
        <v>17</v>
      </c>
      <c r="C248" s="7">
        <v>2.64</v>
      </c>
      <c r="D248" s="7">
        <v>2.66</v>
      </c>
      <c r="E248" s="7">
        <v>2.58</v>
      </c>
      <c r="F248" s="7">
        <v>2.59</v>
      </c>
      <c r="G248" s="3">
        <v>2262879</v>
      </c>
      <c r="H248" s="3">
        <v>2923.24</v>
      </c>
      <c r="I248" s="3">
        <v>1128664943</v>
      </c>
      <c r="J248" s="7">
        <f t="shared" si="9"/>
        <v>34.859760127164101</v>
      </c>
      <c r="K248" s="19">
        <f t="shared" si="8"/>
        <v>48.85057471264367</v>
      </c>
    </row>
    <row r="249" spans="1:11" ht="15" customHeight="1" x14ac:dyDescent="0.2">
      <c r="A249" t="s">
        <v>9</v>
      </c>
      <c r="B249" s="9" t="s">
        <v>16</v>
      </c>
      <c r="C249" s="7">
        <v>2.4900000000000002</v>
      </c>
      <c r="D249" s="7">
        <v>2.58</v>
      </c>
      <c r="E249" s="7">
        <v>2.48</v>
      </c>
      <c r="F249" s="7">
        <v>2.54</v>
      </c>
      <c r="G249" s="3">
        <v>3592555</v>
      </c>
      <c r="H249" s="3">
        <v>2866.81</v>
      </c>
      <c r="I249" s="3">
        <v>1128664943</v>
      </c>
      <c r="J249" s="7">
        <f t="shared" si="9"/>
        <v>34.186791784940858</v>
      </c>
      <c r="K249" s="19">
        <f t="shared" si="8"/>
        <v>45.977011494252878</v>
      </c>
    </row>
    <row r="250" spans="1:11" ht="15" customHeight="1" x14ac:dyDescent="0.2">
      <c r="A250" t="s">
        <v>9</v>
      </c>
      <c r="B250" s="9" t="s">
        <v>15</v>
      </c>
      <c r="C250" s="7">
        <v>2.5</v>
      </c>
      <c r="D250" s="7">
        <v>2.52</v>
      </c>
      <c r="E250" s="7">
        <v>2.4550000000000001</v>
      </c>
      <c r="F250" s="7">
        <v>2.5</v>
      </c>
      <c r="G250" s="3">
        <v>7772763</v>
      </c>
      <c r="H250" s="3">
        <v>2821.66</v>
      </c>
      <c r="I250" s="3">
        <v>1128664943</v>
      </c>
      <c r="J250" s="7">
        <f t="shared" si="9"/>
        <v>33.64841711116226</v>
      </c>
      <c r="K250" s="19">
        <f t="shared" si="8"/>
        <v>43.678160919540232</v>
      </c>
    </row>
    <row r="251" spans="1:11" ht="15" customHeight="1" x14ac:dyDescent="0.2">
      <c r="A251" t="s">
        <v>9</v>
      </c>
      <c r="B251" s="9" t="s">
        <v>14</v>
      </c>
      <c r="C251" s="7">
        <v>2.5099999999999998</v>
      </c>
      <c r="D251" s="7">
        <v>2.5649999999999999</v>
      </c>
      <c r="E251" s="7">
        <v>2.5</v>
      </c>
      <c r="F251" s="7">
        <v>2.54</v>
      </c>
      <c r="G251" s="3">
        <v>2001513</v>
      </c>
      <c r="H251" s="3">
        <v>2866.81</v>
      </c>
      <c r="I251" s="3">
        <v>1128664943</v>
      </c>
      <c r="J251" s="7">
        <f t="shared" si="9"/>
        <v>34.186791784940858</v>
      </c>
      <c r="K251" s="19">
        <f t="shared" si="8"/>
        <v>45.977011494252878</v>
      </c>
    </row>
    <row r="252" spans="1:11" ht="15" customHeight="1" x14ac:dyDescent="0.2">
      <c r="A252" t="s">
        <v>9</v>
      </c>
      <c r="B252" s="9" t="s">
        <v>13</v>
      </c>
      <c r="C252" s="7">
        <v>2.54</v>
      </c>
      <c r="D252" s="7">
        <v>2.57</v>
      </c>
      <c r="E252" s="7">
        <v>2.5</v>
      </c>
      <c r="F252" s="7">
        <v>2.5299999999999998</v>
      </c>
      <c r="G252" s="3">
        <v>835702</v>
      </c>
      <c r="H252" s="3">
        <v>2855.52</v>
      </c>
      <c r="I252" s="3">
        <v>1128664943</v>
      </c>
      <c r="J252" s="7">
        <f t="shared" si="9"/>
        <v>34.052198116496207</v>
      </c>
      <c r="K252" s="19">
        <f t="shared" si="8"/>
        <v>45.402298850574702</v>
      </c>
    </row>
    <row r="253" spans="1:11" ht="15" customHeight="1" x14ac:dyDescent="0.2">
      <c r="A253" t="s">
        <v>9</v>
      </c>
      <c r="B253" s="9" t="s">
        <v>12</v>
      </c>
      <c r="C253" s="7">
        <v>2.5299999999999998</v>
      </c>
      <c r="D253" s="7">
        <v>2.56</v>
      </c>
      <c r="E253" s="7">
        <v>2.5049999999999999</v>
      </c>
      <c r="F253" s="7">
        <v>2.5499999999999998</v>
      </c>
      <c r="G253" s="3">
        <v>1116586</v>
      </c>
      <c r="H253" s="3">
        <v>2878.1</v>
      </c>
      <c r="I253" s="3">
        <v>1128664943</v>
      </c>
      <c r="J253" s="7">
        <f t="shared" si="9"/>
        <v>34.321385453385503</v>
      </c>
      <c r="K253" s="19">
        <f t="shared" si="8"/>
        <v>46.551724137931025</v>
      </c>
    </row>
    <row r="254" spans="1:11" ht="15" customHeight="1" x14ac:dyDescent="0.2">
      <c r="A254" t="s">
        <v>9</v>
      </c>
      <c r="B254" s="9" t="s">
        <v>11</v>
      </c>
      <c r="C254" s="7">
        <v>2.52</v>
      </c>
      <c r="D254" s="7">
        <v>2.5499999999999998</v>
      </c>
      <c r="E254" s="7">
        <v>2.4900000000000002</v>
      </c>
      <c r="F254" s="7">
        <v>2.52</v>
      </c>
      <c r="G254" s="3">
        <v>1342113</v>
      </c>
      <c r="H254" s="3">
        <v>2844.24</v>
      </c>
      <c r="I254" s="3">
        <v>1128664943</v>
      </c>
      <c r="J254" s="7">
        <f t="shared" si="9"/>
        <v>33.917604448051556</v>
      </c>
      <c r="K254" s="19">
        <f t="shared" si="8"/>
        <v>44.827586206896555</v>
      </c>
    </row>
    <row r="255" spans="1:11" ht="15" customHeight="1" x14ac:dyDescent="0.2">
      <c r="A255" t="s">
        <v>9</v>
      </c>
      <c r="B255" s="9" t="s">
        <v>10</v>
      </c>
      <c r="C255" s="7">
        <v>2.4700000000000002</v>
      </c>
      <c r="D255" s="7">
        <v>2.48</v>
      </c>
      <c r="E255" s="7">
        <v>2.4350000000000001</v>
      </c>
      <c r="F255" s="7">
        <v>2.4700000000000002</v>
      </c>
      <c r="G255" s="3">
        <v>1376432</v>
      </c>
      <c r="H255" s="3">
        <v>2787.8</v>
      </c>
      <c r="I255" s="3">
        <v>1128664943</v>
      </c>
      <c r="J255" s="7">
        <f t="shared" si="9"/>
        <v>33.244636105828313</v>
      </c>
      <c r="K255" s="19">
        <f t="shared" si="8"/>
        <v>41.954022988505756</v>
      </c>
    </row>
  </sheetData>
  <sortState xmlns:xlrd2="http://schemas.microsoft.com/office/spreadsheetml/2017/richdata2" ref="A2:I255">
    <sortCondition ref="B2:B255"/>
  </sortState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1DBCF-92C7-6646-A09D-67906B329649}">
  <dimension ref="A1:E255"/>
  <sheetViews>
    <sheetView topLeftCell="C2" zoomScaleNormal="120" workbookViewId="0">
      <selection activeCell="P4" sqref="P4"/>
    </sheetView>
  </sheetViews>
  <sheetFormatPr baseColWidth="10" defaultRowHeight="16" x14ac:dyDescent="0.2"/>
  <cols>
    <col min="1" max="1" width="16.6640625" style="2" customWidth="1"/>
    <col min="2" max="5" width="16.6640625" style="10" customWidth="1"/>
  </cols>
  <sheetData>
    <row r="1" spans="1:5" x14ac:dyDescent="0.2">
      <c r="A1" s="1" t="s">
        <v>1</v>
      </c>
      <c r="B1" s="6" t="s">
        <v>2</v>
      </c>
      <c r="C1" s="6" t="s">
        <v>3</v>
      </c>
      <c r="D1" s="6" t="s">
        <v>4</v>
      </c>
      <c r="E1" s="6" t="s">
        <v>5</v>
      </c>
    </row>
    <row r="2" spans="1:5" x14ac:dyDescent="0.2">
      <c r="A2" s="2" t="s">
        <v>263</v>
      </c>
      <c r="B2" s="7">
        <v>1.7749999999999999</v>
      </c>
      <c r="C2" s="7">
        <v>1.778</v>
      </c>
      <c r="D2" s="7">
        <v>1.7350000000000001</v>
      </c>
      <c r="E2" s="7">
        <v>1.74</v>
      </c>
    </row>
    <row r="3" spans="1:5" x14ac:dyDescent="0.2">
      <c r="A3" s="2" t="s">
        <v>262</v>
      </c>
      <c r="B3" s="7">
        <v>1.7050000000000001</v>
      </c>
      <c r="C3" s="7">
        <v>1.72</v>
      </c>
      <c r="D3" s="7">
        <v>1.6850000000000001</v>
      </c>
      <c r="E3" s="7">
        <v>1.69</v>
      </c>
    </row>
    <row r="4" spans="1:5" x14ac:dyDescent="0.2">
      <c r="A4" s="2" t="s">
        <v>261</v>
      </c>
      <c r="B4" s="7">
        <v>1.66</v>
      </c>
      <c r="C4" s="7">
        <v>1.677</v>
      </c>
      <c r="D4" s="7">
        <v>1.615</v>
      </c>
      <c r="E4" s="7">
        <v>1.625</v>
      </c>
    </row>
    <row r="5" spans="1:5" x14ac:dyDescent="0.2">
      <c r="A5" s="2" t="s">
        <v>260</v>
      </c>
      <c r="B5" s="7">
        <v>1.645</v>
      </c>
      <c r="C5" s="7">
        <v>1.655</v>
      </c>
      <c r="D5" s="7">
        <v>1.62</v>
      </c>
      <c r="E5" s="7">
        <v>1.625</v>
      </c>
    </row>
    <row r="6" spans="1:5" x14ac:dyDescent="0.2">
      <c r="A6" s="2" t="s">
        <v>259</v>
      </c>
      <c r="B6" s="7">
        <v>1.615</v>
      </c>
      <c r="C6" s="7">
        <v>1.63</v>
      </c>
      <c r="D6" s="7">
        <v>1.6</v>
      </c>
      <c r="E6" s="7">
        <v>1.63</v>
      </c>
    </row>
    <row r="7" spans="1:5" x14ac:dyDescent="0.2">
      <c r="A7" s="2" t="s">
        <v>258</v>
      </c>
      <c r="B7" s="7">
        <v>1.64</v>
      </c>
      <c r="C7" s="7">
        <v>1.655</v>
      </c>
      <c r="D7" s="7">
        <v>1.6</v>
      </c>
      <c r="E7" s="7">
        <v>1.605</v>
      </c>
    </row>
    <row r="8" spans="1:5" x14ac:dyDescent="0.2">
      <c r="A8" s="2" t="s">
        <v>257</v>
      </c>
      <c r="B8" s="7">
        <v>1.6</v>
      </c>
      <c r="C8" s="7">
        <v>1.61</v>
      </c>
      <c r="D8" s="7">
        <v>1.575</v>
      </c>
      <c r="E8" s="7">
        <v>1.59</v>
      </c>
    </row>
    <row r="9" spans="1:5" x14ac:dyDescent="0.2">
      <c r="A9" s="2" t="s">
        <v>256</v>
      </c>
      <c r="B9" s="7">
        <v>1.585</v>
      </c>
      <c r="C9" s="7">
        <v>1.625</v>
      </c>
      <c r="D9" s="7">
        <v>1.56</v>
      </c>
      <c r="E9" s="7">
        <v>1.615</v>
      </c>
    </row>
    <row r="10" spans="1:5" x14ac:dyDescent="0.2">
      <c r="A10" s="2" t="s">
        <v>255</v>
      </c>
      <c r="B10" s="7">
        <v>1.6</v>
      </c>
      <c r="C10" s="7">
        <v>1.625</v>
      </c>
      <c r="D10" s="7">
        <v>1.58</v>
      </c>
      <c r="E10" s="7">
        <v>1.62</v>
      </c>
    </row>
    <row r="11" spans="1:5" x14ac:dyDescent="0.2">
      <c r="A11" s="2" t="s">
        <v>254</v>
      </c>
      <c r="B11" s="7">
        <v>1.635</v>
      </c>
      <c r="C11" s="7">
        <v>1.655</v>
      </c>
      <c r="D11" s="7">
        <v>1.617</v>
      </c>
      <c r="E11" s="7">
        <v>1.64</v>
      </c>
    </row>
    <row r="12" spans="1:5" x14ac:dyDescent="0.2">
      <c r="A12" s="2" t="s">
        <v>253</v>
      </c>
      <c r="B12" s="7">
        <v>1.63</v>
      </c>
      <c r="C12" s="7">
        <v>1.665</v>
      </c>
      <c r="D12" s="7">
        <v>1.615</v>
      </c>
      <c r="E12" s="7">
        <v>1.65</v>
      </c>
    </row>
    <row r="13" spans="1:5" x14ac:dyDescent="0.2">
      <c r="A13" s="2" t="s">
        <v>252</v>
      </c>
      <c r="B13" s="7">
        <v>1.6</v>
      </c>
      <c r="C13" s="7">
        <v>1.623</v>
      </c>
      <c r="D13" s="7">
        <v>1.575</v>
      </c>
      <c r="E13" s="7">
        <v>1.62</v>
      </c>
    </row>
    <row r="14" spans="1:5" x14ac:dyDescent="0.2">
      <c r="A14" s="2" t="s">
        <v>251</v>
      </c>
      <c r="B14" s="7">
        <v>1.58</v>
      </c>
      <c r="C14" s="7">
        <v>1.617</v>
      </c>
      <c r="D14" s="7">
        <v>1.575</v>
      </c>
      <c r="E14" s="7">
        <v>1.59</v>
      </c>
    </row>
    <row r="15" spans="1:5" x14ac:dyDescent="0.2">
      <c r="A15" s="2" t="s">
        <v>250</v>
      </c>
      <c r="B15" s="7">
        <v>1.62</v>
      </c>
      <c r="C15" s="7">
        <v>1.633</v>
      </c>
      <c r="D15" s="7">
        <v>1.59</v>
      </c>
      <c r="E15" s="7">
        <v>1.605</v>
      </c>
    </row>
    <row r="16" spans="1:5" x14ac:dyDescent="0.2">
      <c r="A16" s="2" t="s">
        <v>249</v>
      </c>
      <c r="B16" s="7">
        <v>1.61</v>
      </c>
      <c r="C16" s="7">
        <v>1.625</v>
      </c>
      <c r="D16" s="7">
        <v>1.587</v>
      </c>
      <c r="E16" s="7">
        <v>1.605</v>
      </c>
    </row>
    <row r="17" spans="1:5" x14ac:dyDescent="0.2">
      <c r="A17" s="2" t="s">
        <v>248</v>
      </c>
      <c r="B17" s="7">
        <v>1.61</v>
      </c>
      <c r="C17" s="7">
        <v>1.61</v>
      </c>
      <c r="D17" s="7">
        <v>1.52</v>
      </c>
      <c r="E17" s="7">
        <v>1.53</v>
      </c>
    </row>
    <row r="18" spans="1:5" x14ac:dyDescent="0.2">
      <c r="A18" s="2" t="s">
        <v>247</v>
      </c>
      <c r="B18" s="7">
        <v>1.54</v>
      </c>
      <c r="C18" s="7">
        <v>1.62</v>
      </c>
      <c r="D18" s="7">
        <v>1.5149999999999999</v>
      </c>
      <c r="E18" s="7">
        <v>1.585</v>
      </c>
    </row>
    <row r="19" spans="1:5" x14ac:dyDescent="0.2">
      <c r="A19" s="2" t="s">
        <v>246</v>
      </c>
      <c r="B19" s="7">
        <v>1.585</v>
      </c>
      <c r="C19" s="7">
        <v>1.593</v>
      </c>
      <c r="D19" s="7">
        <v>1.5449999999999999</v>
      </c>
      <c r="E19" s="7">
        <v>1.5649999999999999</v>
      </c>
    </row>
    <row r="20" spans="1:5" x14ac:dyDescent="0.2">
      <c r="A20" s="2" t="s">
        <v>245</v>
      </c>
      <c r="B20" s="7">
        <v>1.5449999999999999</v>
      </c>
      <c r="C20" s="7">
        <v>1.5649999999999999</v>
      </c>
      <c r="D20" s="7">
        <v>1.4850000000000001</v>
      </c>
      <c r="E20" s="7">
        <v>1.5549999999999999</v>
      </c>
    </row>
    <row r="21" spans="1:5" x14ac:dyDescent="0.2">
      <c r="A21" s="2" t="s">
        <v>244</v>
      </c>
      <c r="B21" s="7">
        <v>1.5649999999999999</v>
      </c>
      <c r="C21" s="7">
        <v>1.613</v>
      </c>
      <c r="D21" s="7">
        <v>1.5449999999999999</v>
      </c>
      <c r="E21" s="7">
        <v>1.6</v>
      </c>
    </row>
    <row r="22" spans="1:5" x14ac:dyDescent="0.2">
      <c r="A22" s="2" t="s">
        <v>243</v>
      </c>
      <c r="B22" s="7">
        <v>1.59</v>
      </c>
      <c r="C22" s="7">
        <v>1.635</v>
      </c>
      <c r="D22" s="7">
        <v>1.5649999999999999</v>
      </c>
      <c r="E22" s="7">
        <v>1.625</v>
      </c>
    </row>
    <row r="23" spans="1:5" x14ac:dyDescent="0.2">
      <c r="A23" s="2" t="s">
        <v>242</v>
      </c>
      <c r="B23" s="7">
        <v>1.6</v>
      </c>
      <c r="C23" s="7">
        <v>1.61</v>
      </c>
      <c r="D23" s="7">
        <v>1.5349999999999999</v>
      </c>
      <c r="E23" s="7">
        <v>1.605</v>
      </c>
    </row>
    <row r="24" spans="1:5" x14ac:dyDescent="0.2">
      <c r="A24" s="2" t="s">
        <v>241</v>
      </c>
      <c r="B24" s="7">
        <v>1.66</v>
      </c>
      <c r="C24" s="7">
        <v>1.74</v>
      </c>
      <c r="D24" s="7">
        <v>1.66</v>
      </c>
      <c r="E24" s="7">
        <v>1.6950000000000001</v>
      </c>
    </row>
    <row r="25" spans="1:5" x14ac:dyDescent="0.2">
      <c r="A25" s="2" t="s">
        <v>240</v>
      </c>
      <c r="B25" s="7">
        <v>1.645</v>
      </c>
      <c r="C25" s="7">
        <v>1.65</v>
      </c>
      <c r="D25" s="7">
        <v>1.585</v>
      </c>
      <c r="E25" s="7">
        <v>1.605</v>
      </c>
    </row>
    <row r="26" spans="1:5" x14ac:dyDescent="0.2">
      <c r="A26" s="2" t="s">
        <v>239</v>
      </c>
      <c r="B26" s="7">
        <v>1.6</v>
      </c>
      <c r="C26" s="7">
        <v>1.62</v>
      </c>
      <c r="D26" s="7">
        <v>1.5649999999999999</v>
      </c>
      <c r="E26" s="7">
        <v>1.585</v>
      </c>
    </row>
    <row r="27" spans="1:5" x14ac:dyDescent="0.2">
      <c r="A27" s="2" t="s">
        <v>238</v>
      </c>
      <c r="B27" s="7">
        <v>1.6</v>
      </c>
      <c r="C27" s="7">
        <v>1.607</v>
      </c>
      <c r="D27" s="7">
        <v>1.57</v>
      </c>
      <c r="E27" s="7">
        <v>1.605</v>
      </c>
    </row>
    <row r="28" spans="1:5" x14ac:dyDescent="0.2">
      <c r="A28" s="2" t="s">
        <v>237</v>
      </c>
      <c r="B28" s="7">
        <v>1.605</v>
      </c>
      <c r="C28" s="7">
        <v>1.65</v>
      </c>
      <c r="D28" s="7">
        <v>1.587</v>
      </c>
      <c r="E28" s="7">
        <v>1.61</v>
      </c>
    </row>
    <row r="29" spans="1:5" x14ac:dyDescent="0.2">
      <c r="A29" s="2" t="s">
        <v>236</v>
      </c>
      <c r="B29" s="7">
        <v>1.6</v>
      </c>
      <c r="C29" s="7">
        <v>1.605</v>
      </c>
      <c r="D29" s="7">
        <v>1.55</v>
      </c>
      <c r="E29" s="7">
        <v>1.56</v>
      </c>
    </row>
    <row r="30" spans="1:5" x14ac:dyDescent="0.2">
      <c r="A30" s="2" t="s">
        <v>235</v>
      </c>
      <c r="B30" s="7">
        <v>1.585</v>
      </c>
      <c r="C30" s="7">
        <v>1.585</v>
      </c>
      <c r="D30" s="7">
        <v>1.54</v>
      </c>
      <c r="E30" s="7">
        <v>1.54</v>
      </c>
    </row>
    <row r="31" spans="1:5" x14ac:dyDescent="0.2">
      <c r="A31" s="2" t="s">
        <v>234</v>
      </c>
      <c r="B31" s="7">
        <v>1.5649999999999999</v>
      </c>
      <c r="C31" s="7">
        <v>1.605</v>
      </c>
      <c r="D31" s="7">
        <v>1.55</v>
      </c>
      <c r="E31" s="7">
        <v>1.57</v>
      </c>
    </row>
    <row r="32" spans="1:5" x14ac:dyDescent="0.2">
      <c r="A32" s="2" t="s">
        <v>233</v>
      </c>
      <c r="B32" s="7">
        <v>1.51</v>
      </c>
      <c r="C32" s="7">
        <v>1.532</v>
      </c>
      <c r="D32" s="7">
        <v>1.4650000000000001</v>
      </c>
      <c r="E32" s="7">
        <v>1.52</v>
      </c>
    </row>
    <row r="33" spans="1:5" x14ac:dyDescent="0.2">
      <c r="A33" s="2" t="s">
        <v>232</v>
      </c>
      <c r="B33" s="7">
        <v>1.5149999999999999</v>
      </c>
      <c r="C33" s="7">
        <v>1.54</v>
      </c>
      <c r="D33" s="7">
        <v>1.5</v>
      </c>
      <c r="E33" s="7">
        <v>1.5049999999999999</v>
      </c>
    </row>
    <row r="34" spans="1:5" x14ac:dyDescent="0.2">
      <c r="A34" s="2" t="s">
        <v>231</v>
      </c>
      <c r="B34" s="7">
        <v>1.55</v>
      </c>
      <c r="C34" s="7">
        <v>1.57</v>
      </c>
      <c r="D34" s="7">
        <v>1.5149999999999999</v>
      </c>
      <c r="E34" s="7">
        <v>1.5249999999999999</v>
      </c>
    </row>
    <row r="35" spans="1:5" x14ac:dyDescent="0.2">
      <c r="A35" s="2" t="s">
        <v>230</v>
      </c>
      <c r="B35" s="7">
        <v>1.5249999999999999</v>
      </c>
      <c r="C35" s="7">
        <v>1.53</v>
      </c>
      <c r="D35" s="7">
        <v>1.5049999999999999</v>
      </c>
      <c r="E35" s="7">
        <v>1.5249999999999999</v>
      </c>
    </row>
    <row r="36" spans="1:5" x14ac:dyDescent="0.2">
      <c r="A36" s="2" t="s">
        <v>229</v>
      </c>
      <c r="B36" s="7">
        <v>1.53</v>
      </c>
      <c r="C36" s="7">
        <v>1.542</v>
      </c>
      <c r="D36" s="7">
        <v>1.51</v>
      </c>
      <c r="E36" s="7">
        <v>1.54</v>
      </c>
    </row>
    <row r="37" spans="1:5" x14ac:dyDescent="0.2">
      <c r="A37" s="2" t="s">
        <v>228</v>
      </c>
      <c r="B37" s="7">
        <v>1.5549999999999999</v>
      </c>
      <c r="C37" s="7">
        <v>1.595</v>
      </c>
      <c r="D37" s="7">
        <v>1.55</v>
      </c>
      <c r="E37" s="7">
        <v>1.5649999999999999</v>
      </c>
    </row>
    <row r="38" spans="1:5" x14ac:dyDescent="0.2">
      <c r="A38" s="2" t="s">
        <v>227</v>
      </c>
      <c r="B38" s="7">
        <v>1.55</v>
      </c>
      <c r="C38" s="7">
        <v>1.57</v>
      </c>
      <c r="D38" s="7">
        <v>1.52</v>
      </c>
      <c r="E38" s="7">
        <v>1.5549999999999999</v>
      </c>
    </row>
    <row r="39" spans="1:5" x14ac:dyDescent="0.2">
      <c r="A39" s="2" t="s">
        <v>226</v>
      </c>
      <c r="B39" s="7">
        <v>1.54</v>
      </c>
      <c r="C39" s="7">
        <v>1.5649999999999999</v>
      </c>
      <c r="D39" s="7">
        <v>1.54</v>
      </c>
      <c r="E39" s="7">
        <v>1.56</v>
      </c>
    </row>
    <row r="40" spans="1:5" x14ac:dyDescent="0.2">
      <c r="A40" s="2" t="s">
        <v>225</v>
      </c>
      <c r="B40" s="7">
        <v>1.59</v>
      </c>
      <c r="C40" s="7">
        <v>1.625</v>
      </c>
      <c r="D40" s="7">
        <v>1.585</v>
      </c>
      <c r="E40" s="7">
        <v>1.61</v>
      </c>
    </row>
    <row r="41" spans="1:5" x14ac:dyDescent="0.2">
      <c r="A41" s="2" t="s">
        <v>224</v>
      </c>
      <c r="B41" s="7">
        <v>1.59</v>
      </c>
      <c r="C41" s="7">
        <v>1.6</v>
      </c>
      <c r="D41" s="7">
        <v>1.52</v>
      </c>
      <c r="E41" s="7">
        <v>1.57</v>
      </c>
    </row>
    <row r="42" spans="1:5" x14ac:dyDescent="0.2">
      <c r="A42" s="2" t="s">
        <v>223</v>
      </c>
      <c r="B42" s="7">
        <v>1.59</v>
      </c>
      <c r="C42" s="7">
        <v>1.615</v>
      </c>
      <c r="D42" s="7">
        <v>1.57</v>
      </c>
      <c r="E42" s="7">
        <v>1.575</v>
      </c>
    </row>
    <row r="43" spans="1:5" x14ac:dyDescent="0.2">
      <c r="A43" s="2" t="s">
        <v>222</v>
      </c>
      <c r="B43" s="7">
        <v>1.57</v>
      </c>
      <c r="C43" s="7">
        <v>1.57</v>
      </c>
      <c r="D43" s="7">
        <v>1.48</v>
      </c>
      <c r="E43" s="7">
        <v>1.53</v>
      </c>
    </row>
    <row r="44" spans="1:5" x14ac:dyDescent="0.2">
      <c r="A44" s="2" t="s">
        <v>221</v>
      </c>
      <c r="B44" s="7">
        <v>1.5449999999999999</v>
      </c>
      <c r="C44" s="7">
        <v>1.58</v>
      </c>
      <c r="D44" s="7">
        <v>1.5449999999999999</v>
      </c>
      <c r="E44" s="7">
        <v>1.58</v>
      </c>
    </row>
    <row r="45" spans="1:5" x14ac:dyDescent="0.2">
      <c r="A45" s="2" t="s">
        <v>220</v>
      </c>
      <c r="B45" s="7">
        <v>1.625</v>
      </c>
      <c r="C45" s="7">
        <v>1.72</v>
      </c>
      <c r="D45" s="7">
        <v>1.625</v>
      </c>
      <c r="E45" s="7">
        <v>1.7</v>
      </c>
    </row>
    <row r="46" spans="1:5" x14ac:dyDescent="0.2">
      <c r="A46" s="2" t="s">
        <v>219</v>
      </c>
      <c r="B46" s="7">
        <v>1.7450000000000001</v>
      </c>
      <c r="C46" s="7">
        <v>1.84</v>
      </c>
      <c r="D46" s="7">
        <v>1.7250000000000001</v>
      </c>
      <c r="E46" s="7">
        <v>1.825</v>
      </c>
    </row>
    <row r="47" spans="1:5" x14ac:dyDescent="0.2">
      <c r="A47" s="2" t="s">
        <v>218</v>
      </c>
      <c r="B47" s="7">
        <v>1.82</v>
      </c>
      <c r="C47" s="7">
        <v>1.865</v>
      </c>
      <c r="D47" s="7">
        <v>1.82</v>
      </c>
      <c r="E47" s="7">
        <v>1.855</v>
      </c>
    </row>
    <row r="48" spans="1:5" x14ac:dyDescent="0.2">
      <c r="A48" s="2" t="s">
        <v>217</v>
      </c>
      <c r="B48" s="7">
        <v>1.875</v>
      </c>
      <c r="C48" s="7">
        <v>1.9850000000000001</v>
      </c>
      <c r="D48" s="7">
        <v>1.875</v>
      </c>
      <c r="E48" s="7">
        <v>1.917</v>
      </c>
    </row>
    <row r="49" spans="1:5" x14ac:dyDescent="0.2">
      <c r="A49" s="2" t="s">
        <v>216</v>
      </c>
      <c r="B49" s="7">
        <v>1.915</v>
      </c>
      <c r="C49" s="7">
        <v>1.92</v>
      </c>
      <c r="D49" s="7">
        <v>1.837</v>
      </c>
      <c r="E49" s="7">
        <v>1.86</v>
      </c>
    </row>
    <row r="50" spans="1:5" x14ac:dyDescent="0.2">
      <c r="A50" s="2" t="s">
        <v>215</v>
      </c>
      <c r="B50" s="7">
        <v>1.88</v>
      </c>
      <c r="C50" s="7">
        <v>1.905</v>
      </c>
      <c r="D50" s="7">
        <v>1.84</v>
      </c>
      <c r="E50" s="7">
        <v>1.87</v>
      </c>
    </row>
    <row r="51" spans="1:5" x14ac:dyDescent="0.2">
      <c r="A51" s="2" t="s">
        <v>214</v>
      </c>
      <c r="B51" s="7">
        <v>1.885</v>
      </c>
      <c r="C51" s="7">
        <v>1.915</v>
      </c>
      <c r="D51" s="7">
        <v>1.87</v>
      </c>
      <c r="E51" s="7">
        <v>1.895</v>
      </c>
    </row>
    <row r="52" spans="1:5" x14ac:dyDescent="0.2">
      <c r="A52" s="2" t="s">
        <v>213</v>
      </c>
      <c r="B52" s="7">
        <v>1.89</v>
      </c>
      <c r="C52" s="7">
        <v>1.91</v>
      </c>
      <c r="D52" s="7">
        <v>1.837</v>
      </c>
      <c r="E52" s="7">
        <v>1.89</v>
      </c>
    </row>
    <row r="53" spans="1:5" x14ac:dyDescent="0.2">
      <c r="A53" s="2" t="s">
        <v>212</v>
      </c>
      <c r="B53" s="7">
        <v>1.915</v>
      </c>
      <c r="C53" s="7">
        <v>1.95</v>
      </c>
      <c r="D53" s="7">
        <v>1.867</v>
      </c>
      <c r="E53" s="7">
        <v>1.895</v>
      </c>
    </row>
    <row r="54" spans="1:5" x14ac:dyDescent="0.2">
      <c r="A54" s="2" t="s">
        <v>211</v>
      </c>
      <c r="B54" s="7">
        <v>1.89</v>
      </c>
      <c r="C54" s="7">
        <v>1.96</v>
      </c>
      <c r="D54" s="7">
        <v>1.885</v>
      </c>
      <c r="E54" s="7">
        <v>1.92</v>
      </c>
    </row>
    <row r="55" spans="1:5" x14ac:dyDescent="0.2">
      <c r="A55" s="2" t="s">
        <v>210</v>
      </c>
      <c r="B55" s="7">
        <v>1.91</v>
      </c>
      <c r="C55" s="7">
        <v>1.92</v>
      </c>
      <c r="D55" s="7">
        <v>1.84</v>
      </c>
      <c r="E55" s="7">
        <v>1.865</v>
      </c>
    </row>
    <row r="56" spans="1:5" x14ac:dyDescent="0.2">
      <c r="A56" s="2" t="s">
        <v>209</v>
      </c>
      <c r="B56" s="7">
        <v>1.895</v>
      </c>
      <c r="C56" s="7">
        <v>1.895</v>
      </c>
      <c r="D56" s="7">
        <v>1.843</v>
      </c>
      <c r="E56" s="7">
        <v>1.885</v>
      </c>
    </row>
    <row r="57" spans="1:5" x14ac:dyDescent="0.2">
      <c r="A57" s="2" t="s">
        <v>208</v>
      </c>
      <c r="B57" s="7">
        <v>1.885</v>
      </c>
      <c r="C57" s="7">
        <v>1.885</v>
      </c>
      <c r="D57" s="7">
        <v>1.845</v>
      </c>
      <c r="E57" s="7">
        <v>1.88</v>
      </c>
    </row>
    <row r="58" spans="1:5" x14ac:dyDescent="0.2">
      <c r="A58" s="2" t="s">
        <v>207</v>
      </c>
      <c r="B58" s="7">
        <v>1.94</v>
      </c>
      <c r="C58" s="7">
        <v>1.98</v>
      </c>
      <c r="D58" s="7">
        <v>1.9</v>
      </c>
      <c r="E58" s="7">
        <v>1.92</v>
      </c>
    </row>
    <row r="59" spans="1:5" x14ac:dyDescent="0.2">
      <c r="A59" s="2" t="s">
        <v>206</v>
      </c>
      <c r="B59" s="7">
        <v>1.82</v>
      </c>
      <c r="C59" s="7">
        <v>1.835</v>
      </c>
      <c r="D59" s="7">
        <v>1.75</v>
      </c>
      <c r="E59" s="7">
        <v>1.8</v>
      </c>
    </row>
    <row r="60" spans="1:5" x14ac:dyDescent="0.2">
      <c r="A60" s="2" t="s">
        <v>205</v>
      </c>
      <c r="B60" s="7">
        <v>1.81</v>
      </c>
      <c r="C60" s="7">
        <v>1.83</v>
      </c>
      <c r="D60" s="7">
        <v>1.74</v>
      </c>
      <c r="E60" s="7">
        <v>1.8</v>
      </c>
    </row>
    <row r="61" spans="1:5" x14ac:dyDescent="0.2">
      <c r="A61" s="2" t="s">
        <v>204</v>
      </c>
      <c r="B61" s="7">
        <v>1.845</v>
      </c>
      <c r="C61" s="7">
        <v>1.853</v>
      </c>
      <c r="D61" s="7">
        <v>1.76</v>
      </c>
      <c r="E61" s="7">
        <v>1.76</v>
      </c>
    </row>
    <row r="62" spans="1:5" x14ac:dyDescent="0.2">
      <c r="A62" s="2" t="s">
        <v>203</v>
      </c>
      <c r="B62" s="7">
        <v>1.77</v>
      </c>
      <c r="C62" s="7">
        <v>1.8049999999999999</v>
      </c>
      <c r="D62" s="7">
        <v>1.72</v>
      </c>
      <c r="E62" s="7">
        <v>1.8049999999999999</v>
      </c>
    </row>
    <row r="63" spans="1:5" x14ac:dyDescent="0.2">
      <c r="A63" s="2" t="s">
        <v>202</v>
      </c>
      <c r="B63" s="7">
        <v>1.83</v>
      </c>
      <c r="C63" s="7">
        <v>1.89</v>
      </c>
      <c r="D63" s="7">
        <v>1.83</v>
      </c>
      <c r="E63" s="7">
        <v>1.855</v>
      </c>
    </row>
    <row r="64" spans="1:5" x14ac:dyDescent="0.2">
      <c r="A64" s="2" t="s">
        <v>201</v>
      </c>
      <c r="B64" s="7">
        <v>1.9</v>
      </c>
      <c r="C64" s="7">
        <v>1.95</v>
      </c>
      <c r="D64" s="7">
        <v>1.9</v>
      </c>
      <c r="E64" s="7">
        <v>1.9350000000000001</v>
      </c>
    </row>
    <row r="65" spans="1:5" x14ac:dyDescent="0.2">
      <c r="A65" s="2" t="s">
        <v>200</v>
      </c>
      <c r="B65" s="7">
        <v>1.95</v>
      </c>
      <c r="C65" s="7">
        <v>1.96</v>
      </c>
      <c r="D65" s="7">
        <v>1.9</v>
      </c>
      <c r="E65" s="7">
        <v>1.905</v>
      </c>
    </row>
    <row r="66" spans="1:5" x14ac:dyDescent="0.2">
      <c r="A66" s="2" t="s">
        <v>199</v>
      </c>
      <c r="B66" s="7">
        <v>1.9350000000000001</v>
      </c>
      <c r="C66" s="7">
        <v>1.9450000000000001</v>
      </c>
      <c r="D66" s="7">
        <v>1.89</v>
      </c>
      <c r="E66" s="7">
        <v>1.91</v>
      </c>
    </row>
    <row r="67" spans="1:5" x14ac:dyDescent="0.2">
      <c r="A67" s="2" t="s">
        <v>198</v>
      </c>
      <c r="B67" s="7">
        <v>1.89</v>
      </c>
      <c r="C67" s="7">
        <v>1.89</v>
      </c>
      <c r="D67" s="7">
        <v>1.845</v>
      </c>
      <c r="E67" s="7">
        <v>1.855</v>
      </c>
    </row>
    <row r="68" spans="1:5" x14ac:dyDescent="0.2">
      <c r="A68" s="2" t="s">
        <v>197</v>
      </c>
      <c r="B68" s="7">
        <v>1.9</v>
      </c>
      <c r="C68" s="7">
        <v>1.958</v>
      </c>
      <c r="D68" s="7">
        <v>1.865</v>
      </c>
      <c r="E68" s="7">
        <v>1.9450000000000001</v>
      </c>
    </row>
    <row r="69" spans="1:5" x14ac:dyDescent="0.2">
      <c r="A69" s="2" t="s">
        <v>196</v>
      </c>
      <c r="B69" s="7">
        <v>1.97</v>
      </c>
      <c r="C69" s="7">
        <v>1.97</v>
      </c>
      <c r="D69" s="7">
        <v>1.93</v>
      </c>
      <c r="E69" s="7">
        <v>1.95</v>
      </c>
    </row>
    <row r="70" spans="1:5" x14ac:dyDescent="0.2">
      <c r="A70" s="2" t="s">
        <v>195</v>
      </c>
      <c r="B70" s="7">
        <v>1.9350000000000001</v>
      </c>
      <c r="C70" s="7">
        <v>1.9450000000000001</v>
      </c>
      <c r="D70" s="7">
        <v>1.915</v>
      </c>
      <c r="E70" s="7">
        <v>1.9450000000000001</v>
      </c>
    </row>
    <row r="71" spans="1:5" x14ac:dyDescent="0.2">
      <c r="A71" s="2" t="s">
        <v>194</v>
      </c>
      <c r="B71" s="7">
        <v>1.89</v>
      </c>
      <c r="C71" s="7">
        <v>1.9450000000000001</v>
      </c>
      <c r="D71" s="7">
        <v>1.89</v>
      </c>
      <c r="E71" s="7">
        <v>1.915</v>
      </c>
    </row>
    <row r="72" spans="1:5" x14ac:dyDescent="0.2">
      <c r="A72" s="2" t="s">
        <v>193</v>
      </c>
      <c r="B72" s="7">
        <v>1.9450000000000001</v>
      </c>
      <c r="C72" s="7">
        <v>2.0099999999999998</v>
      </c>
      <c r="D72" s="7">
        <v>1.9419999999999999</v>
      </c>
      <c r="E72" s="7">
        <v>1.9850000000000001</v>
      </c>
    </row>
    <row r="73" spans="1:5" x14ac:dyDescent="0.2">
      <c r="A73" s="2" t="s">
        <v>192</v>
      </c>
      <c r="B73" s="7">
        <v>1.9350000000000001</v>
      </c>
      <c r="C73" s="7">
        <v>1.9550000000000001</v>
      </c>
      <c r="D73" s="7">
        <v>1.895</v>
      </c>
      <c r="E73" s="7">
        <v>1.895</v>
      </c>
    </row>
    <row r="74" spans="1:5" x14ac:dyDescent="0.2">
      <c r="A74" s="2" t="s">
        <v>191</v>
      </c>
      <c r="B74" s="7">
        <v>1.87</v>
      </c>
      <c r="C74" s="7">
        <v>1.895</v>
      </c>
      <c r="D74" s="7">
        <v>1.837</v>
      </c>
      <c r="E74" s="7">
        <v>1.845</v>
      </c>
    </row>
    <row r="75" spans="1:5" x14ac:dyDescent="0.2">
      <c r="A75" s="2" t="s">
        <v>190</v>
      </c>
      <c r="B75" s="7">
        <v>1.855</v>
      </c>
      <c r="C75" s="7">
        <v>1.895</v>
      </c>
      <c r="D75" s="7">
        <v>1.85</v>
      </c>
      <c r="E75" s="7">
        <v>1.88</v>
      </c>
    </row>
    <row r="76" spans="1:5" x14ac:dyDescent="0.2">
      <c r="A76" s="2" t="s">
        <v>189</v>
      </c>
      <c r="B76" s="7">
        <v>1.87</v>
      </c>
      <c r="C76" s="7">
        <v>1.9</v>
      </c>
      <c r="D76" s="7">
        <v>1.8149999999999999</v>
      </c>
      <c r="E76" s="7">
        <v>1.825</v>
      </c>
    </row>
    <row r="77" spans="1:5" x14ac:dyDescent="0.2">
      <c r="A77" s="2" t="s">
        <v>188</v>
      </c>
      <c r="B77" s="7">
        <v>1.81</v>
      </c>
      <c r="C77" s="7">
        <v>1.89</v>
      </c>
      <c r="D77" s="7">
        <v>1.7949999999999999</v>
      </c>
      <c r="E77" s="7">
        <v>1.875</v>
      </c>
    </row>
    <row r="78" spans="1:5" x14ac:dyDescent="0.2">
      <c r="A78" s="2" t="s">
        <v>187</v>
      </c>
      <c r="B78" s="7">
        <v>1.895</v>
      </c>
      <c r="C78" s="7">
        <v>1.905</v>
      </c>
      <c r="D78" s="7">
        <v>1.825</v>
      </c>
      <c r="E78" s="7">
        <v>1.835</v>
      </c>
    </row>
    <row r="79" spans="1:5" x14ac:dyDescent="0.2">
      <c r="A79" s="2" t="s">
        <v>186</v>
      </c>
      <c r="B79" s="7">
        <v>1.77</v>
      </c>
      <c r="C79" s="7">
        <v>1.7849999999999999</v>
      </c>
      <c r="D79" s="7">
        <v>1.72</v>
      </c>
      <c r="E79" s="7">
        <v>1.7450000000000001</v>
      </c>
    </row>
    <row r="80" spans="1:5" x14ac:dyDescent="0.2">
      <c r="A80" s="2" t="s">
        <v>185</v>
      </c>
      <c r="B80" s="7">
        <v>1.77</v>
      </c>
      <c r="C80" s="7">
        <v>1.792</v>
      </c>
      <c r="D80" s="7">
        <v>1.7549999999999999</v>
      </c>
      <c r="E80" s="7">
        <v>1.7649999999999999</v>
      </c>
    </row>
    <row r="81" spans="1:5" x14ac:dyDescent="0.2">
      <c r="A81" s="2" t="s">
        <v>184</v>
      </c>
      <c r="B81" s="7">
        <v>1.77</v>
      </c>
      <c r="C81" s="7">
        <v>1.8</v>
      </c>
      <c r="D81" s="7">
        <v>1.74</v>
      </c>
      <c r="E81" s="7">
        <v>1.7549999999999999</v>
      </c>
    </row>
    <row r="82" spans="1:5" x14ac:dyDescent="0.2">
      <c r="A82" s="2" t="s">
        <v>183</v>
      </c>
      <c r="B82" s="7">
        <v>1.7649999999999999</v>
      </c>
      <c r="C82" s="7">
        <v>1.79</v>
      </c>
      <c r="D82" s="7">
        <v>1.7450000000000001</v>
      </c>
      <c r="E82" s="7">
        <v>1.77</v>
      </c>
    </row>
    <row r="83" spans="1:5" x14ac:dyDescent="0.2">
      <c r="A83" s="2" t="s">
        <v>182</v>
      </c>
      <c r="B83" s="7">
        <v>1.81</v>
      </c>
      <c r="C83" s="7">
        <v>1.825</v>
      </c>
      <c r="D83" s="7">
        <v>1.76</v>
      </c>
      <c r="E83" s="7">
        <v>1.76</v>
      </c>
    </row>
    <row r="84" spans="1:5" x14ac:dyDescent="0.2">
      <c r="A84" s="2" t="s">
        <v>181</v>
      </c>
      <c r="B84" s="7">
        <v>1.6950000000000001</v>
      </c>
      <c r="C84" s="7">
        <v>1.7050000000000001</v>
      </c>
      <c r="D84" s="7">
        <v>1.665</v>
      </c>
      <c r="E84" s="7">
        <v>1.68</v>
      </c>
    </row>
    <row r="85" spans="1:5" x14ac:dyDescent="0.2">
      <c r="A85" s="2" t="s">
        <v>180</v>
      </c>
      <c r="B85" s="7">
        <v>1.7</v>
      </c>
      <c r="C85" s="7">
        <v>1.738</v>
      </c>
      <c r="D85" s="7">
        <v>1.7</v>
      </c>
      <c r="E85" s="7">
        <v>1.7</v>
      </c>
    </row>
    <row r="86" spans="1:5" x14ac:dyDescent="0.2">
      <c r="A86" s="2" t="s">
        <v>179</v>
      </c>
      <c r="B86" s="7">
        <v>1.7050000000000001</v>
      </c>
      <c r="C86" s="7">
        <v>1.7150000000000001</v>
      </c>
      <c r="D86" s="7">
        <v>1.67</v>
      </c>
      <c r="E86" s="7">
        <v>1.7</v>
      </c>
    </row>
    <row r="87" spans="1:5" x14ac:dyDescent="0.2">
      <c r="A87" s="2" t="s">
        <v>178</v>
      </c>
      <c r="B87" s="7">
        <v>1.7</v>
      </c>
      <c r="C87" s="7">
        <v>1.74</v>
      </c>
      <c r="D87" s="7">
        <v>1.7</v>
      </c>
      <c r="E87" s="7">
        <v>1.71</v>
      </c>
    </row>
    <row r="88" spans="1:5" x14ac:dyDescent="0.2">
      <c r="A88" s="2" t="s">
        <v>177</v>
      </c>
      <c r="B88" s="7">
        <v>1.7450000000000001</v>
      </c>
      <c r="C88" s="7">
        <v>1.7949999999999999</v>
      </c>
      <c r="D88" s="7">
        <v>1.7350000000000001</v>
      </c>
      <c r="E88" s="7">
        <v>1.79</v>
      </c>
    </row>
    <row r="89" spans="1:5" x14ac:dyDescent="0.2">
      <c r="A89" s="2" t="s">
        <v>176</v>
      </c>
      <c r="B89" s="7">
        <v>1.7949999999999999</v>
      </c>
      <c r="C89" s="7">
        <v>1.8049999999999999</v>
      </c>
      <c r="D89" s="7">
        <v>1.78</v>
      </c>
      <c r="E89" s="7">
        <v>1.7949999999999999</v>
      </c>
    </row>
    <row r="90" spans="1:5" x14ac:dyDescent="0.2">
      <c r="A90" s="2" t="s">
        <v>175</v>
      </c>
      <c r="B90" s="7">
        <v>1.7849999999999999</v>
      </c>
      <c r="C90" s="7">
        <v>1.79</v>
      </c>
      <c r="D90" s="7">
        <v>1.7549999999999999</v>
      </c>
      <c r="E90" s="7">
        <v>1.77</v>
      </c>
    </row>
    <row r="91" spans="1:5" x14ac:dyDescent="0.2">
      <c r="A91" s="2" t="s">
        <v>174</v>
      </c>
      <c r="B91" s="7">
        <v>1.82</v>
      </c>
      <c r="C91" s="7">
        <v>1.83</v>
      </c>
      <c r="D91" s="7">
        <v>1.7949999999999999</v>
      </c>
      <c r="E91" s="7">
        <v>1.8149999999999999</v>
      </c>
    </row>
    <row r="92" spans="1:5" x14ac:dyDescent="0.2">
      <c r="A92" s="2" t="s">
        <v>173</v>
      </c>
      <c r="B92" s="7">
        <v>1.82</v>
      </c>
      <c r="C92" s="7">
        <v>1.83</v>
      </c>
      <c r="D92" s="7">
        <v>1.7949999999999999</v>
      </c>
      <c r="E92" s="7">
        <v>1.825</v>
      </c>
    </row>
    <row r="93" spans="1:5" x14ac:dyDescent="0.2">
      <c r="A93" s="2" t="s">
        <v>172</v>
      </c>
      <c r="B93" s="7">
        <v>1.82</v>
      </c>
      <c r="C93" s="7">
        <v>1.855</v>
      </c>
      <c r="D93" s="7">
        <v>1.78</v>
      </c>
      <c r="E93" s="7">
        <v>1.845</v>
      </c>
    </row>
    <row r="94" spans="1:5" x14ac:dyDescent="0.2">
      <c r="A94" s="2" t="s">
        <v>171</v>
      </c>
      <c r="B94" s="7">
        <v>1.87</v>
      </c>
      <c r="C94" s="7">
        <v>1.87</v>
      </c>
      <c r="D94" s="7">
        <v>1.8149999999999999</v>
      </c>
      <c r="E94" s="7">
        <v>1.8149999999999999</v>
      </c>
    </row>
    <row r="95" spans="1:5" x14ac:dyDescent="0.2">
      <c r="A95" s="2" t="s">
        <v>170</v>
      </c>
      <c r="B95" s="7">
        <v>1.85</v>
      </c>
      <c r="C95" s="7">
        <v>1.89</v>
      </c>
      <c r="D95" s="7">
        <v>1.845</v>
      </c>
      <c r="E95" s="7">
        <v>1.875</v>
      </c>
    </row>
    <row r="96" spans="1:5" x14ac:dyDescent="0.2">
      <c r="A96" s="2" t="s">
        <v>169</v>
      </c>
      <c r="B96" s="7">
        <v>1.855</v>
      </c>
      <c r="C96" s="7">
        <v>1.875</v>
      </c>
      <c r="D96" s="7">
        <v>1.84</v>
      </c>
      <c r="E96" s="7">
        <v>1.87</v>
      </c>
    </row>
    <row r="97" spans="1:5" x14ac:dyDescent="0.2">
      <c r="A97" s="2" t="s">
        <v>168</v>
      </c>
      <c r="B97" s="7">
        <v>1.9</v>
      </c>
      <c r="C97" s="7">
        <v>1.94</v>
      </c>
      <c r="D97" s="7">
        <v>1.9</v>
      </c>
      <c r="E97" s="7">
        <v>1.915</v>
      </c>
    </row>
    <row r="98" spans="1:5" x14ac:dyDescent="0.2">
      <c r="A98" s="2" t="s">
        <v>167</v>
      </c>
      <c r="B98" s="7">
        <v>1.915</v>
      </c>
      <c r="C98" s="7">
        <v>1.94</v>
      </c>
      <c r="D98" s="7">
        <v>1.915</v>
      </c>
      <c r="E98" s="7">
        <v>1.92</v>
      </c>
    </row>
    <row r="99" spans="1:5" x14ac:dyDescent="0.2">
      <c r="A99" s="2" t="s">
        <v>166</v>
      </c>
      <c r="B99" s="7">
        <v>1.92</v>
      </c>
      <c r="C99" s="7">
        <v>1.925</v>
      </c>
      <c r="D99" s="7">
        <v>1.883</v>
      </c>
      <c r="E99" s="7">
        <v>1.89</v>
      </c>
    </row>
    <row r="100" spans="1:5" x14ac:dyDescent="0.2">
      <c r="A100" s="2" t="s">
        <v>165</v>
      </c>
      <c r="B100" s="7">
        <v>1.845</v>
      </c>
      <c r="C100" s="7">
        <v>1.845</v>
      </c>
      <c r="D100" s="7">
        <v>1.79</v>
      </c>
      <c r="E100" s="7">
        <v>1.79</v>
      </c>
    </row>
    <row r="101" spans="1:5" x14ac:dyDescent="0.2">
      <c r="A101" s="2" t="s">
        <v>164</v>
      </c>
      <c r="B101" s="7">
        <v>1.77</v>
      </c>
      <c r="C101" s="7">
        <v>1.79</v>
      </c>
      <c r="D101" s="7">
        <v>1.7549999999999999</v>
      </c>
      <c r="E101" s="7">
        <v>1.78</v>
      </c>
    </row>
    <row r="102" spans="1:5" x14ac:dyDescent="0.2">
      <c r="A102" s="2" t="s">
        <v>163</v>
      </c>
      <c r="B102" s="7">
        <v>1.8</v>
      </c>
      <c r="C102" s="7">
        <v>1.855</v>
      </c>
      <c r="D102" s="7">
        <v>1.7949999999999999</v>
      </c>
      <c r="E102" s="7">
        <v>1.855</v>
      </c>
    </row>
    <row r="103" spans="1:5" x14ac:dyDescent="0.2">
      <c r="A103" s="2" t="s">
        <v>162</v>
      </c>
      <c r="B103" s="7">
        <v>1.88</v>
      </c>
      <c r="C103" s="7">
        <v>1.88</v>
      </c>
      <c r="D103" s="7">
        <v>1.835</v>
      </c>
      <c r="E103" s="7">
        <v>1.85</v>
      </c>
    </row>
    <row r="104" spans="1:5" x14ac:dyDescent="0.2">
      <c r="A104" s="2" t="s">
        <v>161</v>
      </c>
      <c r="B104" s="7">
        <v>1.84</v>
      </c>
      <c r="C104" s="7">
        <v>1.9450000000000001</v>
      </c>
      <c r="D104" s="7">
        <v>1.84</v>
      </c>
      <c r="E104" s="7">
        <v>1.91</v>
      </c>
    </row>
    <row r="105" spans="1:5" x14ac:dyDescent="0.2">
      <c r="A105" s="2" t="s">
        <v>160</v>
      </c>
      <c r="B105" s="7">
        <v>1.9</v>
      </c>
      <c r="C105" s="7">
        <v>1.915</v>
      </c>
      <c r="D105" s="7">
        <v>1.75</v>
      </c>
      <c r="E105" s="7">
        <v>1.8</v>
      </c>
    </row>
    <row r="106" spans="1:5" x14ac:dyDescent="0.2">
      <c r="A106" s="2" t="s">
        <v>159</v>
      </c>
      <c r="B106" s="7">
        <v>1.82</v>
      </c>
      <c r="C106" s="7">
        <v>1.875</v>
      </c>
      <c r="D106" s="7">
        <v>1.8</v>
      </c>
      <c r="E106" s="7">
        <v>1.875</v>
      </c>
    </row>
    <row r="107" spans="1:5" x14ac:dyDescent="0.2">
      <c r="A107" s="2" t="s">
        <v>158</v>
      </c>
      <c r="B107" s="7">
        <v>1.85</v>
      </c>
      <c r="C107" s="7">
        <v>1.88</v>
      </c>
      <c r="D107" s="7">
        <v>1.8149999999999999</v>
      </c>
      <c r="E107" s="7">
        <v>1.8149999999999999</v>
      </c>
    </row>
    <row r="108" spans="1:5" x14ac:dyDescent="0.2">
      <c r="A108" s="2" t="s">
        <v>157</v>
      </c>
      <c r="B108" s="7">
        <v>1.84</v>
      </c>
      <c r="C108" s="7">
        <v>1.867</v>
      </c>
      <c r="D108" s="7">
        <v>1.8169999999999999</v>
      </c>
      <c r="E108" s="7">
        <v>1.82</v>
      </c>
    </row>
    <row r="109" spans="1:5" x14ac:dyDescent="0.2">
      <c r="A109" s="2" t="s">
        <v>156</v>
      </c>
      <c r="B109" s="7">
        <v>1.825</v>
      </c>
      <c r="C109" s="7">
        <v>1.835</v>
      </c>
      <c r="D109" s="7">
        <v>1.7749999999999999</v>
      </c>
      <c r="E109" s="7">
        <v>1.83</v>
      </c>
    </row>
    <row r="110" spans="1:5" x14ac:dyDescent="0.2">
      <c r="A110" s="2" t="s">
        <v>155</v>
      </c>
      <c r="B110" s="7">
        <v>1.885</v>
      </c>
      <c r="C110" s="7">
        <v>1.96</v>
      </c>
      <c r="D110" s="7">
        <v>1.86</v>
      </c>
      <c r="E110" s="7">
        <v>1.92</v>
      </c>
    </row>
    <row r="111" spans="1:5" x14ac:dyDescent="0.2">
      <c r="A111" s="2" t="s">
        <v>154</v>
      </c>
      <c r="B111" s="7">
        <v>1.9650000000000001</v>
      </c>
      <c r="C111" s="7">
        <v>2</v>
      </c>
      <c r="D111" s="7">
        <v>1.96</v>
      </c>
      <c r="E111" s="7">
        <v>1.99</v>
      </c>
    </row>
    <row r="112" spans="1:5" x14ac:dyDescent="0.2">
      <c r="A112" s="2" t="s">
        <v>153</v>
      </c>
      <c r="B112" s="7">
        <v>1.87</v>
      </c>
      <c r="C112" s="7">
        <v>1.88</v>
      </c>
      <c r="D112" s="7">
        <v>1.802</v>
      </c>
      <c r="E112" s="7">
        <v>1.8149999999999999</v>
      </c>
    </row>
    <row r="113" spans="1:5" x14ac:dyDescent="0.2">
      <c r="A113" s="2" t="s">
        <v>152</v>
      </c>
      <c r="B113" s="7">
        <v>1.85</v>
      </c>
      <c r="C113" s="7">
        <v>1.85</v>
      </c>
      <c r="D113" s="7">
        <v>1.78</v>
      </c>
      <c r="E113" s="7">
        <v>1.7949999999999999</v>
      </c>
    </row>
    <row r="114" spans="1:5" x14ac:dyDescent="0.2">
      <c r="A114" s="2" t="s">
        <v>151</v>
      </c>
      <c r="B114" s="7">
        <v>1.825</v>
      </c>
      <c r="C114" s="7">
        <v>1.835</v>
      </c>
      <c r="D114" s="7">
        <v>1.77</v>
      </c>
      <c r="E114" s="7">
        <v>1.78</v>
      </c>
    </row>
    <row r="115" spans="1:5" x14ac:dyDescent="0.2">
      <c r="A115" s="2" t="s">
        <v>150</v>
      </c>
      <c r="B115" s="7">
        <v>1.7649999999999999</v>
      </c>
      <c r="C115" s="7">
        <v>1.77</v>
      </c>
      <c r="D115" s="7">
        <v>1.7150000000000001</v>
      </c>
      <c r="E115" s="7">
        <v>1.7250000000000001</v>
      </c>
    </row>
    <row r="116" spans="1:5" x14ac:dyDescent="0.2">
      <c r="A116" s="2" t="s">
        <v>149</v>
      </c>
      <c r="B116" s="7">
        <v>1.74</v>
      </c>
      <c r="C116" s="7">
        <v>1.778</v>
      </c>
      <c r="D116" s="7">
        <v>1.73</v>
      </c>
      <c r="E116" s="7">
        <v>1.7649999999999999</v>
      </c>
    </row>
    <row r="117" spans="1:5" x14ac:dyDescent="0.2">
      <c r="A117" s="2" t="s">
        <v>148</v>
      </c>
      <c r="B117" s="7">
        <v>1.78</v>
      </c>
      <c r="C117" s="7">
        <v>1.8</v>
      </c>
      <c r="D117" s="7">
        <v>1.75</v>
      </c>
      <c r="E117" s="7">
        <v>1.7649999999999999</v>
      </c>
    </row>
    <row r="118" spans="1:5" x14ac:dyDescent="0.2">
      <c r="A118" s="2" t="s">
        <v>147</v>
      </c>
      <c r="B118" s="7">
        <v>1.8049999999999999</v>
      </c>
      <c r="C118" s="7">
        <v>1.825</v>
      </c>
      <c r="D118" s="7">
        <v>1.78</v>
      </c>
      <c r="E118" s="7">
        <v>1.81</v>
      </c>
    </row>
    <row r="119" spans="1:5" x14ac:dyDescent="0.2">
      <c r="A119" s="2" t="s">
        <v>146</v>
      </c>
      <c r="B119" s="7">
        <v>1.81</v>
      </c>
      <c r="C119" s="7">
        <v>1.82</v>
      </c>
      <c r="D119" s="7">
        <v>1.7949999999999999</v>
      </c>
      <c r="E119" s="7">
        <v>1.81</v>
      </c>
    </row>
    <row r="120" spans="1:5" x14ac:dyDescent="0.2">
      <c r="A120" s="2" t="s">
        <v>145</v>
      </c>
      <c r="B120" s="7">
        <v>1.875</v>
      </c>
      <c r="C120" s="7">
        <v>1.89</v>
      </c>
      <c r="D120" s="7">
        <v>1.843</v>
      </c>
      <c r="E120" s="7">
        <v>1.89</v>
      </c>
    </row>
    <row r="121" spans="1:5" x14ac:dyDescent="0.2">
      <c r="A121" s="2" t="s">
        <v>144</v>
      </c>
      <c r="B121" s="7">
        <v>1.845</v>
      </c>
      <c r="C121" s="7">
        <v>1.855</v>
      </c>
      <c r="D121" s="7">
        <v>1.82</v>
      </c>
      <c r="E121" s="7">
        <v>1.83</v>
      </c>
    </row>
    <row r="122" spans="1:5" x14ac:dyDescent="0.2">
      <c r="A122" s="2" t="s">
        <v>143</v>
      </c>
      <c r="B122" s="7">
        <v>1.855</v>
      </c>
      <c r="C122" s="7">
        <v>1.855</v>
      </c>
      <c r="D122" s="7">
        <v>1.8049999999999999</v>
      </c>
      <c r="E122" s="7">
        <v>1.83</v>
      </c>
    </row>
    <row r="123" spans="1:5" x14ac:dyDescent="0.2">
      <c r="A123" s="2" t="s">
        <v>142</v>
      </c>
      <c r="B123" s="7">
        <v>1.8049999999999999</v>
      </c>
      <c r="C123" s="7">
        <v>1.8120000000000001</v>
      </c>
      <c r="D123" s="7">
        <v>1.742</v>
      </c>
      <c r="E123" s="7">
        <v>1.75</v>
      </c>
    </row>
    <row r="124" spans="1:5" x14ac:dyDescent="0.2">
      <c r="A124" s="2" t="s">
        <v>141</v>
      </c>
      <c r="B124" s="7">
        <v>1.7250000000000001</v>
      </c>
      <c r="C124" s="7">
        <v>1.73</v>
      </c>
      <c r="D124" s="7">
        <v>1.68</v>
      </c>
      <c r="E124" s="7">
        <v>1.73</v>
      </c>
    </row>
    <row r="125" spans="1:5" x14ac:dyDescent="0.2">
      <c r="A125" s="2" t="s">
        <v>140</v>
      </c>
      <c r="B125" s="7">
        <v>1.74</v>
      </c>
      <c r="C125" s="7">
        <v>1.7749999999999999</v>
      </c>
      <c r="D125" s="7">
        <v>1.722</v>
      </c>
      <c r="E125" s="7">
        <v>1.7549999999999999</v>
      </c>
    </row>
    <row r="126" spans="1:5" x14ac:dyDescent="0.2">
      <c r="A126" s="2" t="s">
        <v>139</v>
      </c>
      <c r="B126" s="7">
        <v>1.74</v>
      </c>
      <c r="C126" s="7">
        <v>1.7749999999999999</v>
      </c>
      <c r="D126" s="7">
        <v>1.72</v>
      </c>
      <c r="E126" s="7">
        <v>1.7649999999999999</v>
      </c>
    </row>
    <row r="127" spans="1:5" x14ac:dyDescent="0.2">
      <c r="A127" s="2" t="s">
        <v>138</v>
      </c>
      <c r="B127" s="7">
        <v>1.7549999999999999</v>
      </c>
      <c r="C127" s="7">
        <v>1.7949999999999999</v>
      </c>
      <c r="D127" s="7">
        <v>1.75</v>
      </c>
      <c r="E127" s="7">
        <v>1.76</v>
      </c>
    </row>
    <row r="128" spans="1:5" x14ac:dyDescent="0.2">
      <c r="A128" s="2" t="s">
        <v>137</v>
      </c>
      <c r="B128" s="7">
        <v>1.77</v>
      </c>
      <c r="C128" s="7">
        <v>1.8049999999999999</v>
      </c>
      <c r="D128" s="7">
        <v>1.7549999999999999</v>
      </c>
      <c r="E128" s="7">
        <v>1.7949999999999999</v>
      </c>
    </row>
    <row r="129" spans="1:5" x14ac:dyDescent="0.2">
      <c r="A129" s="2" t="s">
        <v>136</v>
      </c>
      <c r="B129" s="7">
        <v>1.84</v>
      </c>
      <c r="C129" s="7">
        <v>1.875</v>
      </c>
      <c r="D129" s="7">
        <v>1.827</v>
      </c>
      <c r="E129" s="7">
        <v>1.865</v>
      </c>
    </row>
    <row r="130" spans="1:5" x14ac:dyDescent="0.2">
      <c r="A130" s="2" t="s">
        <v>135</v>
      </c>
      <c r="B130" s="7">
        <v>1.865</v>
      </c>
      <c r="C130" s="7">
        <v>1.9</v>
      </c>
      <c r="D130" s="7">
        <v>1.845</v>
      </c>
      <c r="E130" s="7">
        <v>1.895</v>
      </c>
    </row>
    <row r="131" spans="1:5" x14ac:dyDescent="0.2">
      <c r="A131" s="2" t="s">
        <v>134</v>
      </c>
      <c r="B131" s="7">
        <v>1.925</v>
      </c>
      <c r="C131" s="7">
        <v>1.93</v>
      </c>
      <c r="D131" s="7">
        <v>1.875</v>
      </c>
      <c r="E131" s="7">
        <v>1.88</v>
      </c>
    </row>
    <row r="132" spans="1:5" x14ac:dyDescent="0.2">
      <c r="A132" s="2" t="s">
        <v>133</v>
      </c>
      <c r="B132" s="7">
        <v>1.87</v>
      </c>
      <c r="C132" s="7">
        <v>1.895</v>
      </c>
      <c r="D132" s="7">
        <v>1.855</v>
      </c>
      <c r="E132" s="7">
        <v>1.895</v>
      </c>
    </row>
    <row r="133" spans="1:5" x14ac:dyDescent="0.2">
      <c r="A133" s="2" t="s">
        <v>132</v>
      </c>
      <c r="B133" s="7">
        <v>1.885</v>
      </c>
      <c r="C133" s="7">
        <v>1.903</v>
      </c>
      <c r="D133" s="7">
        <v>1.857</v>
      </c>
      <c r="E133" s="7">
        <v>1.88</v>
      </c>
    </row>
    <row r="134" spans="1:5" x14ac:dyDescent="0.2">
      <c r="A134" s="2" t="s">
        <v>131</v>
      </c>
      <c r="B134" s="7">
        <v>1.91</v>
      </c>
      <c r="C134" s="7">
        <v>1.97</v>
      </c>
      <c r="D134" s="7">
        <v>1.89</v>
      </c>
      <c r="E134" s="7">
        <v>1.9550000000000001</v>
      </c>
    </row>
    <row r="135" spans="1:5" x14ac:dyDescent="0.2">
      <c r="A135" s="2" t="s">
        <v>130</v>
      </c>
      <c r="B135" s="7">
        <v>1.99</v>
      </c>
      <c r="C135" s="7">
        <v>2.0699999999999998</v>
      </c>
      <c r="D135" s="7">
        <v>1.96</v>
      </c>
      <c r="E135" s="7">
        <v>2.0699999999999998</v>
      </c>
    </row>
    <row r="136" spans="1:5" x14ac:dyDescent="0.2">
      <c r="A136" s="2" t="s">
        <v>129</v>
      </c>
      <c r="B136" s="7">
        <v>2.09</v>
      </c>
      <c r="C136" s="7">
        <v>2.13</v>
      </c>
      <c r="D136" s="7">
        <v>2.0449999999999999</v>
      </c>
      <c r="E136" s="7">
        <v>2.12</v>
      </c>
    </row>
    <row r="137" spans="1:5" x14ac:dyDescent="0.2">
      <c r="A137" s="2" t="s">
        <v>128</v>
      </c>
      <c r="B137" s="7">
        <v>2.15</v>
      </c>
      <c r="C137" s="7">
        <v>2.1749999999999998</v>
      </c>
      <c r="D137" s="7">
        <v>2.13</v>
      </c>
      <c r="E137" s="7">
        <v>2.15</v>
      </c>
    </row>
    <row r="138" spans="1:5" x14ac:dyDescent="0.2">
      <c r="A138" s="2" t="s">
        <v>127</v>
      </c>
      <c r="B138" s="7">
        <v>2.19</v>
      </c>
      <c r="C138" s="7">
        <v>2.2400000000000002</v>
      </c>
      <c r="D138" s="7">
        <v>2.15</v>
      </c>
      <c r="E138" s="7">
        <v>2.16</v>
      </c>
    </row>
    <row r="139" spans="1:5" x14ac:dyDescent="0.2">
      <c r="A139" s="2" t="s">
        <v>126</v>
      </c>
      <c r="B139" s="7">
        <v>2.14</v>
      </c>
      <c r="C139" s="7">
        <v>2.17</v>
      </c>
      <c r="D139" s="7">
        <v>2.09</v>
      </c>
      <c r="E139" s="7">
        <v>2.15</v>
      </c>
    </row>
    <row r="140" spans="1:5" x14ac:dyDescent="0.2">
      <c r="A140" s="2" t="s">
        <v>125</v>
      </c>
      <c r="B140" s="7">
        <v>2.09</v>
      </c>
      <c r="C140" s="7">
        <v>2.16</v>
      </c>
      <c r="D140" s="7">
        <v>2.0499999999999998</v>
      </c>
      <c r="E140" s="7">
        <v>2.15</v>
      </c>
    </row>
    <row r="141" spans="1:5" x14ac:dyDescent="0.2">
      <c r="A141" s="2" t="s">
        <v>124</v>
      </c>
      <c r="B141" s="7">
        <v>2.15</v>
      </c>
      <c r="C141" s="7">
        <v>2.19</v>
      </c>
      <c r="D141" s="7">
        <v>2.15</v>
      </c>
      <c r="E141" s="7">
        <v>2.17</v>
      </c>
    </row>
    <row r="142" spans="1:5" x14ac:dyDescent="0.2">
      <c r="A142" s="2" t="s">
        <v>123</v>
      </c>
      <c r="B142" s="7">
        <v>2.19</v>
      </c>
      <c r="C142" s="7">
        <v>2.2050000000000001</v>
      </c>
      <c r="D142" s="7">
        <v>2.12</v>
      </c>
      <c r="E142" s="7">
        <v>2.12</v>
      </c>
    </row>
    <row r="143" spans="1:5" x14ac:dyDescent="0.2">
      <c r="A143" s="2" t="s">
        <v>122</v>
      </c>
      <c r="B143" s="7">
        <v>2.13</v>
      </c>
      <c r="C143" s="7">
        <v>2.1949999999999998</v>
      </c>
      <c r="D143" s="7">
        <v>2.1</v>
      </c>
      <c r="E143" s="7">
        <v>2.17</v>
      </c>
    </row>
    <row r="144" spans="1:5" x14ac:dyDescent="0.2">
      <c r="A144" s="2" t="s">
        <v>121</v>
      </c>
      <c r="B144" s="7">
        <v>2.11</v>
      </c>
      <c r="C144" s="7">
        <v>2.17</v>
      </c>
      <c r="D144" s="7">
        <v>2.09</v>
      </c>
      <c r="E144" s="7">
        <v>2.12</v>
      </c>
    </row>
    <row r="145" spans="1:5" x14ac:dyDescent="0.2">
      <c r="A145" s="2" t="s">
        <v>120</v>
      </c>
      <c r="B145" s="7">
        <v>2.12</v>
      </c>
      <c r="C145" s="7">
        <v>2.14</v>
      </c>
      <c r="D145" s="7">
        <v>2.0299999999999998</v>
      </c>
      <c r="E145" s="7">
        <v>2.0699999999999998</v>
      </c>
    </row>
    <row r="146" spans="1:5" x14ac:dyDescent="0.2">
      <c r="A146" s="2" t="s">
        <v>119</v>
      </c>
      <c r="B146" s="7">
        <v>2.11</v>
      </c>
      <c r="C146" s="7">
        <v>2.11</v>
      </c>
      <c r="D146" s="7">
        <v>2.0499999999999998</v>
      </c>
      <c r="E146" s="7">
        <v>2.06</v>
      </c>
    </row>
    <row r="147" spans="1:5" x14ac:dyDescent="0.2">
      <c r="A147" s="2" t="s">
        <v>118</v>
      </c>
      <c r="B147" s="7">
        <v>2.0299999999999998</v>
      </c>
      <c r="C147" s="7">
        <v>2.0499999999999998</v>
      </c>
      <c r="D147" s="7">
        <v>2</v>
      </c>
      <c r="E147" s="7">
        <v>2.02</v>
      </c>
    </row>
    <row r="148" spans="1:5" x14ac:dyDescent="0.2">
      <c r="A148" s="2" t="s">
        <v>117</v>
      </c>
      <c r="B148" s="7">
        <v>2.06</v>
      </c>
      <c r="C148" s="7">
        <v>2.11</v>
      </c>
      <c r="D148" s="7">
        <v>2.0299999999999998</v>
      </c>
      <c r="E148" s="7">
        <v>2.09</v>
      </c>
    </row>
    <row r="149" spans="1:5" x14ac:dyDescent="0.2">
      <c r="A149" s="2" t="s">
        <v>116</v>
      </c>
      <c r="B149" s="7">
        <v>2.12</v>
      </c>
      <c r="C149" s="7">
        <v>2.15</v>
      </c>
      <c r="D149" s="7">
        <v>2.08</v>
      </c>
      <c r="E149" s="7">
        <v>2.11</v>
      </c>
    </row>
    <row r="150" spans="1:5" x14ac:dyDescent="0.2">
      <c r="A150" s="2" t="s">
        <v>115</v>
      </c>
      <c r="B150" s="7">
        <v>2.0499999999999998</v>
      </c>
      <c r="C150" s="7">
        <v>2.15</v>
      </c>
      <c r="D150" s="7">
        <v>2.0299999999999998</v>
      </c>
      <c r="E150" s="7">
        <v>2.12</v>
      </c>
    </row>
    <row r="151" spans="1:5" x14ac:dyDescent="0.2">
      <c r="A151" s="2" t="s">
        <v>114</v>
      </c>
      <c r="B151" s="7">
        <v>2.0699999999999998</v>
      </c>
      <c r="C151" s="7">
        <v>2.11</v>
      </c>
      <c r="D151" s="7">
        <v>2.04</v>
      </c>
      <c r="E151" s="7">
        <v>2.08</v>
      </c>
    </row>
    <row r="152" spans="1:5" x14ac:dyDescent="0.2">
      <c r="A152" s="2" t="s">
        <v>113</v>
      </c>
      <c r="B152" s="7">
        <v>2.0299999999999998</v>
      </c>
      <c r="C152" s="7">
        <v>2.0499999999999998</v>
      </c>
      <c r="D152" s="7">
        <v>2</v>
      </c>
      <c r="E152" s="7">
        <v>2.02</v>
      </c>
    </row>
    <row r="153" spans="1:5" x14ac:dyDescent="0.2">
      <c r="A153" s="2" t="s">
        <v>112</v>
      </c>
      <c r="B153" s="7">
        <v>2.02</v>
      </c>
      <c r="C153" s="7">
        <v>2.04</v>
      </c>
      <c r="D153" s="7">
        <v>1.9750000000000001</v>
      </c>
      <c r="E153" s="7">
        <v>2.0299999999999998</v>
      </c>
    </row>
    <row r="154" spans="1:5" x14ac:dyDescent="0.2">
      <c r="A154" s="2" t="s">
        <v>111</v>
      </c>
      <c r="B154" s="7">
        <v>2.0099999999999998</v>
      </c>
      <c r="C154" s="7">
        <v>2.0099999999999998</v>
      </c>
      <c r="D154" s="7">
        <v>1.9650000000000001</v>
      </c>
      <c r="E154" s="7">
        <v>1.9850000000000001</v>
      </c>
    </row>
    <row r="155" spans="1:5" x14ac:dyDescent="0.2">
      <c r="A155" s="2" t="s">
        <v>110</v>
      </c>
      <c r="B155" s="7">
        <v>2.06</v>
      </c>
      <c r="C155" s="7">
        <v>2.085</v>
      </c>
      <c r="D155" s="7">
        <v>2.04</v>
      </c>
      <c r="E155" s="7">
        <v>2.06</v>
      </c>
    </row>
    <row r="156" spans="1:5" x14ac:dyDescent="0.2">
      <c r="A156" s="2" t="s">
        <v>109</v>
      </c>
      <c r="B156" s="7">
        <v>2.08</v>
      </c>
      <c r="C156" s="7">
        <v>2.08</v>
      </c>
      <c r="D156" s="7">
        <v>2</v>
      </c>
      <c r="E156" s="7">
        <v>2.04</v>
      </c>
    </row>
    <row r="157" spans="1:5" x14ac:dyDescent="0.2">
      <c r="A157" s="2" t="s">
        <v>108</v>
      </c>
      <c r="B157" s="7">
        <v>2.11</v>
      </c>
      <c r="C157" s="7">
        <v>2.21</v>
      </c>
      <c r="D157" s="7">
        <v>2.09</v>
      </c>
      <c r="E157" s="7">
        <v>2.21</v>
      </c>
    </row>
    <row r="158" spans="1:5" x14ac:dyDescent="0.2">
      <c r="A158" s="2" t="s">
        <v>107</v>
      </c>
      <c r="B158" s="7">
        <v>2.23</v>
      </c>
      <c r="C158" s="7">
        <v>2.23</v>
      </c>
      <c r="D158" s="7">
        <v>2.1800000000000002</v>
      </c>
      <c r="E158" s="7">
        <v>2.2000000000000002</v>
      </c>
    </row>
    <row r="159" spans="1:5" x14ac:dyDescent="0.2">
      <c r="A159" s="2" t="s">
        <v>106</v>
      </c>
      <c r="B159" s="7">
        <v>2.2000000000000002</v>
      </c>
      <c r="C159" s="7">
        <v>2.2200000000000002</v>
      </c>
      <c r="D159" s="7">
        <v>2.1800000000000002</v>
      </c>
      <c r="E159" s="7">
        <v>2.1800000000000002</v>
      </c>
    </row>
    <row r="160" spans="1:5" x14ac:dyDescent="0.2">
      <c r="A160" s="2" t="s">
        <v>105</v>
      </c>
      <c r="B160" s="7">
        <v>2.23</v>
      </c>
      <c r="C160" s="7">
        <v>2.25</v>
      </c>
      <c r="D160" s="7">
        <v>2.16</v>
      </c>
      <c r="E160" s="7">
        <v>2.2000000000000002</v>
      </c>
    </row>
    <row r="161" spans="1:5" x14ac:dyDescent="0.2">
      <c r="A161" s="2" t="s">
        <v>104</v>
      </c>
      <c r="B161" s="7">
        <v>2.2400000000000002</v>
      </c>
      <c r="C161" s="7">
        <v>2.27</v>
      </c>
      <c r="D161" s="7">
        <v>2.17</v>
      </c>
      <c r="E161" s="7">
        <v>2.17</v>
      </c>
    </row>
    <row r="162" spans="1:5" x14ac:dyDescent="0.2">
      <c r="A162" s="2" t="s">
        <v>103</v>
      </c>
      <c r="B162" s="7">
        <v>2.21</v>
      </c>
      <c r="C162" s="7">
        <v>2.23</v>
      </c>
      <c r="D162" s="7">
        <v>2.1549999999999998</v>
      </c>
      <c r="E162" s="7">
        <v>2.1800000000000002</v>
      </c>
    </row>
    <row r="163" spans="1:5" x14ac:dyDescent="0.2">
      <c r="A163" s="2" t="s">
        <v>102</v>
      </c>
      <c r="B163" s="7">
        <v>2.19</v>
      </c>
      <c r="C163" s="7">
        <v>2.2349999999999999</v>
      </c>
      <c r="D163" s="7">
        <v>2.16</v>
      </c>
      <c r="E163" s="7">
        <v>2.21</v>
      </c>
    </row>
    <row r="164" spans="1:5" x14ac:dyDescent="0.2">
      <c r="A164" s="2" t="s">
        <v>101</v>
      </c>
      <c r="B164" s="7">
        <v>2.23</v>
      </c>
      <c r="C164" s="7">
        <v>2.2549999999999999</v>
      </c>
      <c r="D164" s="7">
        <v>2.19</v>
      </c>
      <c r="E164" s="7">
        <v>2.2200000000000002</v>
      </c>
    </row>
    <row r="165" spans="1:5" x14ac:dyDescent="0.2">
      <c r="A165" s="2" t="s">
        <v>100</v>
      </c>
      <c r="B165" s="7">
        <v>2.21</v>
      </c>
      <c r="C165" s="7">
        <v>2.21</v>
      </c>
      <c r="D165" s="7">
        <v>2.16</v>
      </c>
      <c r="E165" s="7">
        <v>2.2000000000000002</v>
      </c>
    </row>
    <row r="166" spans="1:5" x14ac:dyDescent="0.2">
      <c r="A166" s="2" t="s">
        <v>99</v>
      </c>
      <c r="B166" s="7">
        <v>2.2400000000000002</v>
      </c>
      <c r="C166" s="7">
        <v>2.25</v>
      </c>
      <c r="D166" s="7">
        <v>2.19</v>
      </c>
      <c r="E166" s="7">
        <v>2.2000000000000002</v>
      </c>
    </row>
    <row r="167" spans="1:5" x14ac:dyDescent="0.2">
      <c r="A167" s="2" t="s">
        <v>98</v>
      </c>
      <c r="B167" s="7">
        <v>2.19</v>
      </c>
      <c r="C167" s="7">
        <v>2.2200000000000002</v>
      </c>
      <c r="D167" s="7">
        <v>2.1800000000000002</v>
      </c>
      <c r="E167" s="7">
        <v>2.19</v>
      </c>
    </row>
    <row r="168" spans="1:5" x14ac:dyDescent="0.2">
      <c r="A168" s="2" t="s">
        <v>97</v>
      </c>
      <c r="B168" s="7">
        <v>2.2000000000000002</v>
      </c>
      <c r="C168" s="7">
        <v>2.25</v>
      </c>
      <c r="D168" s="7">
        <v>2.1850000000000001</v>
      </c>
      <c r="E168" s="7">
        <v>2.19</v>
      </c>
    </row>
    <row r="169" spans="1:5" x14ac:dyDescent="0.2">
      <c r="A169" s="2" t="s">
        <v>96</v>
      </c>
      <c r="B169" s="7">
        <v>2.15</v>
      </c>
      <c r="C169" s="7">
        <v>2.1800000000000002</v>
      </c>
      <c r="D169" s="7">
        <v>2.0699999999999998</v>
      </c>
      <c r="E169" s="7">
        <v>2.14</v>
      </c>
    </row>
    <row r="170" spans="1:5" x14ac:dyDescent="0.2">
      <c r="A170" s="2" t="s">
        <v>95</v>
      </c>
      <c r="B170" s="7">
        <v>2.16</v>
      </c>
      <c r="C170" s="7">
        <v>2.27</v>
      </c>
      <c r="D170" s="7">
        <v>2.13</v>
      </c>
      <c r="E170" s="7">
        <v>2.27</v>
      </c>
    </row>
    <row r="171" spans="1:5" x14ac:dyDescent="0.2">
      <c r="A171" s="2" t="s">
        <v>94</v>
      </c>
      <c r="B171" s="7">
        <v>2.21</v>
      </c>
      <c r="C171" s="7">
        <v>2.21</v>
      </c>
      <c r="D171" s="7">
        <v>2.12</v>
      </c>
      <c r="E171" s="7">
        <v>2.2000000000000002</v>
      </c>
    </row>
    <row r="172" spans="1:5" x14ac:dyDescent="0.2">
      <c r="A172" s="2" t="s">
        <v>93</v>
      </c>
      <c r="B172" s="7">
        <v>2.2000000000000002</v>
      </c>
      <c r="C172" s="7">
        <v>2.23</v>
      </c>
      <c r="D172" s="7">
        <v>2.17</v>
      </c>
      <c r="E172" s="7">
        <v>2.19</v>
      </c>
    </row>
    <row r="173" spans="1:5" x14ac:dyDescent="0.2">
      <c r="A173" s="2" t="s">
        <v>92</v>
      </c>
      <c r="B173" s="7">
        <v>2.13</v>
      </c>
      <c r="C173" s="7">
        <v>2.16</v>
      </c>
      <c r="D173" s="7">
        <v>2.0449999999999999</v>
      </c>
      <c r="E173" s="7">
        <v>2.0699999999999998</v>
      </c>
    </row>
    <row r="174" spans="1:5" x14ac:dyDescent="0.2">
      <c r="A174" s="2" t="s">
        <v>91</v>
      </c>
      <c r="B174" s="7">
        <v>2.09</v>
      </c>
      <c r="C174" s="7">
        <v>2.15</v>
      </c>
      <c r="D174" s="7">
        <v>2.0699999999999998</v>
      </c>
      <c r="E174" s="7">
        <v>2.14</v>
      </c>
    </row>
    <row r="175" spans="1:5" x14ac:dyDescent="0.2">
      <c r="A175" s="2" t="s">
        <v>90</v>
      </c>
      <c r="B175" s="7">
        <v>2.15</v>
      </c>
      <c r="C175" s="7">
        <v>2.19</v>
      </c>
      <c r="D175" s="7">
        <v>2.09</v>
      </c>
      <c r="E175" s="7">
        <v>2.1800000000000002</v>
      </c>
    </row>
    <row r="176" spans="1:5" x14ac:dyDescent="0.2">
      <c r="A176" s="2" t="s">
        <v>89</v>
      </c>
      <c r="B176" s="7">
        <v>2.14</v>
      </c>
      <c r="C176" s="7">
        <v>2.14</v>
      </c>
      <c r="D176" s="7">
        <v>2.0699999999999998</v>
      </c>
      <c r="E176" s="7">
        <v>2.0699999999999998</v>
      </c>
    </row>
    <row r="177" spans="1:5" x14ac:dyDescent="0.2">
      <c r="A177" s="2" t="s">
        <v>88</v>
      </c>
      <c r="B177" s="7">
        <v>2.09</v>
      </c>
      <c r="C177" s="7">
        <v>2.1150000000000002</v>
      </c>
      <c r="D177" s="7">
        <v>2.09</v>
      </c>
      <c r="E177" s="7">
        <v>2.11</v>
      </c>
    </row>
    <row r="178" spans="1:5" x14ac:dyDescent="0.2">
      <c r="A178" s="2" t="s">
        <v>87</v>
      </c>
      <c r="B178" s="7">
        <v>2.14</v>
      </c>
      <c r="C178" s="7">
        <v>2.1800000000000002</v>
      </c>
      <c r="D178" s="7">
        <v>2.11</v>
      </c>
      <c r="E178" s="7">
        <v>2.11</v>
      </c>
    </row>
    <row r="179" spans="1:5" x14ac:dyDescent="0.2">
      <c r="A179" s="2" t="s">
        <v>86</v>
      </c>
      <c r="B179" s="7">
        <v>2.14</v>
      </c>
      <c r="C179" s="7">
        <v>2.16</v>
      </c>
      <c r="D179" s="7">
        <v>2.12</v>
      </c>
      <c r="E179" s="7">
        <v>2.15</v>
      </c>
    </row>
    <row r="180" spans="1:5" x14ac:dyDescent="0.2">
      <c r="A180" s="2" t="s">
        <v>85</v>
      </c>
      <c r="B180" s="7">
        <v>2.23</v>
      </c>
      <c r="C180" s="7">
        <v>2.2400000000000002</v>
      </c>
      <c r="D180" s="7">
        <v>2.1800000000000002</v>
      </c>
      <c r="E180" s="7">
        <v>2.2000000000000002</v>
      </c>
    </row>
    <row r="181" spans="1:5" x14ac:dyDescent="0.2">
      <c r="A181" s="2" t="s">
        <v>84</v>
      </c>
      <c r="B181" s="7">
        <v>2.21</v>
      </c>
      <c r="C181" s="7">
        <v>2.2200000000000002</v>
      </c>
      <c r="D181" s="7">
        <v>2.16</v>
      </c>
      <c r="E181" s="7">
        <v>2.17</v>
      </c>
    </row>
    <row r="182" spans="1:5" x14ac:dyDescent="0.2">
      <c r="A182" s="2" t="s">
        <v>83</v>
      </c>
      <c r="B182" s="7">
        <v>2.19</v>
      </c>
      <c r="C182" s="7">
        <v>2.2050000000000001</v>
      </c>
      <c r="D182" s="7">
        <v>2.09</v>
      </c>
      <c r="E182" s="7">
        <v>2.11</v>
      </c>
    </row>
    <row r="183" spans="1:5" x14ac:dyDescent="0.2">
      <c r="A183" s="2" t="s">
        <v>82</v>
      </c>
      <c r="B183" s="7">
        <v>2.08</v>
      </c>
      <c r="C183" s="7">
        <v>2.12</v>
      </c>
      <c r="D183" s="7">
        <v>2.0499999999999998</v>
      </c>
      <c r="E183" s="7">
        <v>2.1</v>
      </c>
    </row>
    <row r="184" spans="1:5" x14ac:dyDescent="0.2">
      <c r="A184" s="2" t="s">
        <v>81</v>
      </c>
      <c r="B184" s="7">
        <v>2.1</v>
      </c>
      <c r="C184" s="7">
        <v>2.14</v>
      </c>
      <c r="D184" s="7">
        <v>2.06</v>
      </c>
      <c r="E184" s="7">
        <v>2.12</v>
      </c>
    </row>
    <row r="185" spans="1:5" x14ac:dyDescent="0.2">
      <c r="A185" s="2" t="s">
        <v>80</v>
      </c>
      <c r="B185" s="7">
        <v>2.14</v>
      </c>
      <c r="C185" s="7">
        <v>2.19</v>
      </c>
      <c r="D185" s="7">
        <v>2.11</v>
      </c>
      <c r="E185" s="7">
        <v>2.11</v>
      </c>
    </row>
    <row r="186" spans="1:5" x14ac:dyDescent="0.2">
      <c r="A186" s="2" t="s">
        <v>79</v>
      </c>
      <c r="B186" s="7">
        <v>2.11</v>
      </c>
      <c r="C186" s="7">
        <v>2.16</v>
      </c>
      <c r="D186" s="7">
        <v>2.0699999999999998</v>
      </c>
      <c r="E186" s="7">
        <v>2.11</v>
      </c>
    </row>
    <row r="187" spans="1:5" x14ac:dyDescent="0.2">
      <c r="A187" s="2" t="s">
        <v>78</v>
      </c>
      <c r="B187" s="7">
        <v>2.0699999999999998</v>
      </c>
      <c r="C187" s="7">
        <v>2.1</v>
      </c>
      <c r="D187" s="7">
        <v>2.0499999999999998</v>
      </c>
      <c r="E187" s="7">
        <v>2.0699999999999998</v>
      </c>
    </row>
    <row r="188" spans="1:5" x14ac:dyDescent="0.2">
      <c r="A188" s="2" t="s">
        <v>77</v>
      </c>
      <c r="B188" s="7">
        <v>2.14</v>
      </c>
      <c r="C188" s="7">
        <v>2.1850000000000001</v>
      </c>
      <c r="D188" s="7">
        <v>2.1</v>
      </c>
      <c r="E188" s="7">
        <v>2.1</v>
      </c>
    </row>
    <row r="189" spans="1:5" x14ac:dyDescent="0.2">
      <c r="A189" s="2" t="s">
        <v>76</v>
      </c>
      <c r="B189" s="7">
        <v>2.13</v>
      </c>
      <c r="C189" s="7">
        <v>2.15</v>
      </c>
      <c r="D189" s="7">
        <v>2.09</v>
      </c>
      <c r="E189" s="7">
        <v>2.15</v>
      </c>
    </row>
    <row r="190" spans="1:5" x14ac:dyDescent="0.2">
      <c r="A190" s="2" t="s">
        <v>75</v>
      </c>
      <c r="B190" s="7">
        <v>2.11</v>
      </c>
      <c r="C190" s="7">
        <v>2.15</v>
      </c>
      <c r="D190" s="7">
        <v>2.09</v>
      </c>
      <c r="E190" s="7">
        <v>2.15</v>
      </c>
    </row>
    <row r="191" spans="1:5" x14ac:dyDescent="0.2">
      <c r="A191" s="2" t="s">
        <v>74</v>
      </c>
      <c r="B191" s="7">
        <v>2.14</v>
      </c>
      <c r="C191" s="7">
        <v>2.14</v>
      </c>
      <c r="D191" s="7">
        <v>2.0299999999999998</v>
      </c>
      <c r="E191" s="7">
        <v>2.06</v>
      </c>
    </row>
    <row r="192" spans="1:5" x14ac:dyDescent="0.2">
      <c r="A192" s="2" t="s">
        <v>73</v>
      </c>
      <c r="B192" s="7">
        <v>2.04</v>
      </c>
      <c r="C192" s="7">
        <v>2.0499999999999998</v>
      </c>
      <c r="D192" s="7">
        <v>2.0099999999999998</v>
      </c>
      <c r="E192" s="7">
        <v>2.04</v>
      </c>
    </row>
    <row r="193" spans="1:5" x14ac:dyDescent="0.2">
      <c r="A193" s="2" t="s">
        <v>72</v>
      </c>
      <c r="B193" s="7">
        <v>2.08</v>
      </c>
      <c r="C193" s="7">
        <v>2.125</v>
      </c>
      <c r="D193" s="7">
        <v>2.0699999999999998</v>
      </c>
      <c r="E193" s="7">
        <v>2.09</v>
      </c>
    </row>
    <row r="194" spans="1:5" x14ac:dyDescent="0.2">
      <c r="A194" s="2" t="s">
        <v>71</v>
      </c>
      <c r="B194" s="7">
        <v>2.08</v>
      </c>
      <c r="C194" s="7">
        <v>2.08</v>
      </c>
      <c r="D194" s="7">
        <v>2</v>
      </c>
      <c r="E194" s="7">
        <v>2.02</v>
      </c>
    </row>
    <row r="195" spans="1:5" x14ac:dyDescent="0.2">
      <c r="A195" s="2" t="s">
        <v>70</v>
      </c>
      <c r="B195" s="7">
        <v>2.02</v>
      </c>
      <c r="C195" s="7">
        <v>2.0449999999999999</v>
      </c>
      <c r="D195" s="7">
        <v>1.98</v>
      </c>
      <c r="E195" s="7">
        <v>2.04</v>
      </c>
    </row>
    <row r="196" spans="1:5" x14ac:dyDescent="0.2">
      <c r="A196" s="2" t="s">
        <v>69</v>
      </c>
      <c r="B196" s="7">
        <v>2.04</v>
      </c>
      <c r="C196" s="7">
        <v>2.04</v>
      </c>
      <c r="D196" s="7">
        <v>1.98</v>
      </c>
      <c r="E196" s="7">
        <v>2.02</v>
      </c>
    </row>
    <row r="197" spans="1:5" x14ac:dyDescent="0.2">
      <c r="A197" s="2" t="s">
        <v>68</v>
      </c>
      <c r="B197" s="7">
        <v>1.9950000000000001</v>
      </c>
      <c r="C197" s="7">
        <v>2.0299999999999998</v>
      </c>
      <c r="D197" s="7">
        <v>1.99</v>
      </c>
      <c r="E197" s="7">
        <v>2.0099999999999998</v>
      </c>
    </row>
    <row r="198" spans="1:5" x14ac:dyDescent="0.2">
      <c r="A198" s="2" t="s">
        <v>67</v>
      </c>
      <c r="B198" s="7">
        <v>1.98</v>
      </c>
      <c r="C198" s="7">
        <v>2.0299999999999998</v>
      </c>
      <c r="D198" s="7">
        <v>1.98</v>
      </c>
      <c r="E198" s="7">
        <v>1.9950000000000001</v>
      </c>
    </row>
    <row r="199" spans="1:5" x14ac:dyDescent="0.2">
      <c r="A199" s="2" t="s">
        <v>66</v>
      </c>
      <c r="B199" s="7">
        <v>2.02</v>
      </c>
      <c r="C199" s="7">
        <v>2.0350000000000001</v>
      </c>
      <c r="D199" s="7">
        <v>2.0049999999999999</v>
      </c>
      <c r="E199" s="7">
        <v>2.0299999999999998</v>
      </c>
    </row>
    <row r="200" spans="1:5" x14ac:dyDescent="0.2">
      <c r="A200" s="2" t="s">
        <v>65</v>
      </c>
      <c r="B200" s="7">
        <v>2.0499999999999998</v>
      </c>
      <c r="C200" s="7">
        <v>2.1</v>
      </c>
      <c r="D200" s="7">
        <v>2.0499999999999998</v>
      </c>
      <c r="E200" s="7">
        <v>2.0699999999999998</v>
      </c>
    </row>
    <row r="201" spans="1:5" x14ac:dyDescent="0.2">
      <c r="A201" s="2" t="s">
        <v>64</v>
      </c>
      <c r="B201" s="7">
        <v>2.09</v>
      </c>
      <c r="C201" s="7">
        <v>2.09</v>
      </c>
      <c r="D201" s="7">
        <v>2.04</v>
      </c>
      <c r="E201" s="7">
        <v>2.0499999999999998</v>
      </c>
    </row>
    <row r="202" spans="1:5" x14ac:dyDescent="0.2">
      <c r="A202" s="2" t="s">
        <v>63</v>
      </c>
      <c r="B202" s="7">
        <v>2.08</v>
      </c>
      <c r="C202" s="7">
        <v>2.13</v>
      </c>
      <c r="D202" s="7">
        <v>2.0699999999999998</v>
      </c>
      <c r="E202" s="7">
        <v>2.08</v>
      </c>
    </row>
    <row r="203" spans="1:5" x14ac:dyDescent="0.2">
      <c r="A203" s="2" t="s">
        <v>62</v>
      </c>
      <c r="B203" s="7">
        <v>2.12</v>
      </c>
      <c r="C203" s="7">
        <v>2.19</v>
      </c>
      <c r="D203" s="7">
        <v>2.11</v>
      </c>
      <c r="E203" s="7">
        <v>2.19</v>
      </c>
    </row>
    <row r="204" spans="1:5" x14ac:dyDescent="0.2">
      <c r="A204" s="2" t="s">
        <v>61</v>
      </c>
      <c r="B204" s="7">
        <v>2.2400000000000002</v>
      </c>
      <c r="C204" s="7">
        <v>2.3199999999999998</v>
      </c>
      <c r="D204" s="7">
        <v>2.2000000000000002</v>
      </c>
      <c r="E204" s="7">
        <v>2.3199999999999998</v>
      </c>
    </row>
    <row r="205" spans="1:5" x14ac:dyDescent="0.2">
      <c r="A205" s="2" t="s">
        <v>60</v>
      </c>
      <c r="B205" s="7">
        <v>2.2999999999999998</v>
      </c>
      <c r="C205" s="7">
        <v>2.3199999999999998</v>
      </c>
      <c r="D205" s="7">
        <v>2.2549999999999999</v>
      </c>
      <c r="E205" s="7">
        <v>2.2999999999999998</v>
      </c>
    </row>
    <row r="206" spans="1:5" x14ac:dyDescent="0.2">
      <c r="A206" s="2" t="s">
        <v>59</v>
      </c>
      <c r="B206" s="7">
        <v>2.4</v>
      </c>
      <c r="C206" s="7">
        <v>2.4750000000000001</v>
      </c>
      <c r="D206" s="7">
        <v>2.375</v>
      </c>
      <c r="E206" s="7">
        <v>2.4700000000000002</v>
      </c>
    </row>
    <row r="207" spans="1:5" x14ac:dyDescent="0.2">
      <c r="A207" s="2" t="s">
        <v>58</v>
      </c>
      <c r="B207" s="7">
        <v>2.4300000000000002</v>
      </c>
      <c r="C207" s="7">
        <v>2.4900000000000002</v>
      </c>
      <c r="D207" s="7">
        <v>2.3849999999999998</v>
      </c>
      <c r="E207" s="7">
        <v>2.4900000000000002</v>
      </c>
    </row>
    <row r="208" spans="1:5" x14ac:dyDescent="0.2">
      <c r="A208" s="2" t="s">
        <v>57</v>
      </c>
      <c r="B208" s="7">
        <v>2.4700000000000002</v>
      </c>
      <c r="C208" s="7">
        <v>2.5750000000000002</v>
      </c>
      <c r="D208" s="7">
        <v>2.46</v>
      </c>
      <c r="E208" s="7">
        <v>2.56</v>
      </c>
    </row>
    <row r="209" spans="1:5" x14ac:dyDescent="0.2">
      <c r="A209" s="2" t="s">
        <v>56</v>
      </c>
      <c r="B209" s="7">
        <v>2.4900000000000002</v>
      </c>
      <c r="C209" s="7">
        <v>2.52</v>
      </c>
      <c r="D209" s="7">
        <v>2.4300000000000002</v>
      </c>
      <c r="E209" s="7">
        <v>2.4900000000000002</v>
      </c>
    </row>
    <row r="210" spans="1:5" x14ac:dyDescent="0.2">
      <c r="A210" s="2" t="s">
        <v>55</v>
      </c>
      <c r="B210" s="7">
        <v>2.4700000000000002</v>
      </c>
      <c r="C210" s="7">
        <v>2.5299999999999998</v>
      </c>
      <c r="D210" s="7">
        <v>2.4500000000000002</v>
      </c>
      <c r="E210" s="7">
        <v>2.5299999999999998</v>
      </c>
    </row>
    <row r="211" spans="1:5" x14ac:dyDescent="0.2">
      <c r="A211" s="2" t="s">
        <v>54</v>
      </c>
      <c r="B211" s="7">
        <v>2.5</v>
      </c>
      <c r="C211" s="7">
        <v>2.5049999999999999</v>
      </c>
      <c r="D211" s="7">
        <v>2.42</v>
      </c>
      <c r="E211" s="7">
        <v>2.44</v>
      </c>
    </row>
    <row r="212" spans="1:5" x14ac:dyDescent="0.2">
      <c r="A212" s="2" t="s">
        <v>53</v>
      </c>
      <c r="B212" s="7">
        <v>2.46</v>
      </c>
      <c r="C212" s="7">
        <v>2.4950000000000001</v>
      </c>
      <c r="D212" s="7">
        <v>2.42</v>
      </c>
      <c r="E212" s="7">
        <v>2.4700000000000002</v>
      </c>
    </row>
    <row r="213" spans="1:5" x14ac:dyDescent="0.2">
      <c r="A213" s="2" t="s">
        <v>52</v>
      </c>
      <c r="B213" s="7">
        <v>2.5</v>
      </c>
      <c r="C213" s="7">
        <v>2.5049999999999999</v>
      </c>
      <c r="D213" s="7">
        <v>2.39</v>
      </c>
      <c r="E213" s="7">
        <v>2.44</v>
      </c>
    </row>
    <row r="214" spans="1:5" x14ac:dyDescent="0.2">
      <c r="A214" s="2" t="s">
        <v>51</v>
      </c>
      <c r="B214" s="7">
        <v>2.4</v>
      </c>
      <c r="C214" s="7">
        <v>2.46</v>
      </c>
      <c r="D214" s="7">
        <v>2.38</v>
      </c>
      <c r="E214" s="7">
        <v>2.4500000000000002</v>
      </c>
    </row>
    <row r="215" spans="1:5" x14ac:dyDescent="0.2">
      <c r="A215" s="2" t="s">
        <v>50</v>
      </c>
      <c r="B215" s="7">
        <v>2.4</v>
      </c>
      <c r="C215" s="7">
        <v>2.4</v>
      </c>
      <c r="D215" s="7">
        <v>2.33</v>
      </c>
      <c r="E215" s="7">
        <v>2.34</v>
      </c>
    </row>
    <row r="216" spans="1:5" x14ac:dyDescent="0.2">
      <c r="A216" s="2" t="s">
        <v>49</v>
      </c>
      <c r="B216" s="7">
        <v>2.34</v>
      </c>
      <c r="C216" s="7">
        <v>2.36</v>
      </c>
      <c r="D216" s="7">
        <v>2.2999999999999998</v>
      </c>
      <c r="E216" s="7">
        <v>2.3199999999999998</v>
      </c>
    </row>
    <row r="217" spans="1:5" x14ac:dyDescent="0.2">
      <c r="A217" s="2" t="s">
        <v>48</v>
      </c>
      <c r="B217" s="7">
        <v>2.2999999999999998</v>
      </c>
      <c r="C217" s="7">
        <v>2.31</v>
      </c>
      <c r="D217" s="7">
        <v>2.25</v>
      </c>
      <c r="E217" s="7">
        <v>2.2599999999999998</v>
      </c>
    </row>
    <row r="218" spans="1:5" x14ac:dyDescent="0.2">
      <c r="A218" s="2" t="s">
        <v>47</v>
      </c>
      <c r="B218" s="7">
        <v>2.2599999999999998</v>
      </c>
      <c r="C218" s="7">
        <v>2.2999999999999998</v>
      </c>
      <c r="D218" s="7">
        <v>2.19</v>
      </c>
      <c r="E218" s="7">
        <v>2.23</v>
      </c>
    </row>
    <row r="219" spans="1:5" x14ac:dyDescent="0.2">
      <c r="A219" s="2" t="s">
        <v>46</v>
      </c>
      <c r="B219" s="7">
        <v>2.17</v>
      </c>
      <c r="C219" s="7">
        <v>2.17</v>
      </c>
      <c r="D219" s="7">
        <v>2.09</v>
      </c>
      <c r="E219" s="7">
        <v>2.14</v>
      </c>
    </row>
    <row r="220" spans="1:5" x14ac:dyDescent="0.2">
      <c r="A220" s="2" t="s">
        <v>45</v>
      </c>
      <c r="B220" s="7">
        <v>2.19</v>
      </c>
      <c r="C220" s="7">
        <v>2.2599999999999998</v>
      </c>
      <c r="D220" s="7">
        <v>2.1749999999999998</v>
      </c>
      <c r="E220" s="7">
        <v>2.2400000000000002</v>
      </c>
    </row>
    <row r="221" spans="1:5" x14ac:dyDescent="0.2">
      <c r="A221" s="2" t="s">
        <v>44</v>
      </c>
      <c r="B221" s="7">
        <v>2.23</v>
      </c>
      <c r="C221" s="7">
        <v>2.35</v>
      </c>
      <c r="D221" s="7">
        <v>2.23</v>
      </c>
      <c r="E221" s="7">
        <v>2.33</v>
      </c>
    </row>
    <row r="222" spans="1:5" x14ac:dyDescent="0.2">
      <c r="A222" s="2" t="s">
        <v>43</v>
      </c>
      <c r="B222" s="7">
        <v>2.2400000000000002</v>
      </c>
      <c r="C222" s="7">
        <v>2.31</v>
      </c>
      <c r="D222" s="7">
        <v>2.2000000000000002</v>
      </c>
      <c r="E222" s="7">
        <v>2.2999999999999998</v>
      </c>
    </row>
    <row r="223" spans="1:5" x14ac:dyDescent="0.2">
      <c r="A223" s="2" t="s">
        <v>42</v>
      </c>
      <c r="B223" s="7">
        <v>2.2799999999999998</v>
      </c>
      <c r="C223" s="7">
        <v>2.335</v>
      </c>
      <c r="D223" s="7">
        <v>2.2599999999999998</v>
      </c>
      <c r="E223" s="7">
        <v>2.2999999999999998</v>
      </c>
    </row>
    <row r="224" spans="1:5" x14ac:dyDescent="0.2">
      <c r="A224" s="2" t="s">
        <v>41</v>
      </c>
      <c r="B224" s="7">
        <v>2.2799999999999998</v>
      </c>
      <c r="C224" s="7">
        <v>2.29</v>
      </c>
      <c r="D224" s="7">
        <v>2.21</v>
      </c>
      <c r="E224" s="7">
        <v>2.23</v>
      </c>
    </row>
    <row r="225" spans="1:5" x14ac:dyDescent="0.2">
      <c r="A225" s="2" t="s">
        <v>40</v>
      </c>
      <c r="B225" s="7">
        <v>2.2999999999999998</v>
      </c>
      <c r="C225" s="7">
        <v>2.31</v>
      </c>
      <c r="D225" s="7">
        <v>2.2400000000000002</v>
      </c>
      <c r="E225" s="7">
        <v>2.27</v>
      </c>
    </row>
    <row r="226" spans="1:5" x14ac:dyDescent="0.2">
      <c r="A226" s="2" t="s">
        <v>39</v>
      </c>
      <c r="B226" s="7">
        <v>2.27</v>
      </c>
      <c r="C226" s="7">
        <v>2.36</v>
      </c>
      <c r="D226" s="7">
        <v>2.2599999999999998</v>
      </c>
      <c r="E226" s="7">
        <v>2.31</v>
      </c>
    </row>
    <row r="227" spans="1:5" x14ac:dyDescent="0.2">
      <c r="A227" s="2" t="s">
        <v>38</v>
      </c>
      <c r="B227" s="7">
        <v>2.34</v>
      </c>
      <c r="C227" s="7">
        <v>2.4500000000000002</v>
      </c>
      <c r="D227" s="7">
        <v>2.34</v>
      </c>
      <c r="E227" s="7">
        <v>2.42</v>
      </c>
    </row>
    <row r="228" spans="1:5" x14ac:dyDescent="0.2">
      <c r="A228" s="2" t="s">
        <v>37</v>
      </c>
      <c r="B228" s="7">
        <v>2.46</v>
      </c>
      <c r="C228" s="7">
        <v>2.5</v>
      </c>
      <c r="D228" s="7">
        <v>2.4550000000000001</v>
      </c>
      <c r="E228" s="7">
        <v>2.4700000000000002</v>
      </c>
    </row>
    <row r="229" spans="1:5" x14ac:dyDescent="0.2">
      <c r="A229" s="2" t="s">
        <v>36</v>
      </c>
      <c r="B229" s="7">
        <v>2.5</v>
      </c>
      <c r="C229" s="7">
        <v>2.5</v>
      </c>
      <c r="D229" s="7">
        <v>2.46</v>
      </c>
      <c r="E229" s="7">
        <v>2.48</v>
      </c>
    </row>
    <row r="230" spans="1:5" x14ac:dyDescent="0.2">
      <c r="A230" s="2" t="s">
        <v>35</v>
      </c>
      <c r="B230" s="7">
        <v>2.5</v>
      </c>
      <c r="C230" s="7">
        <v>2.5299999999999998</v>
      </c>
      <c r="D230" s="7">
        <v>2.4900000000000002</v>
      </c>
      <c r="E230" s="7">
        <v>2.5</v>
      </c>
    </row>
    <row r="231" spans="1:5" x14ac:dyDescent="0.2">
      <c r="A231" s="2" t="s">
        <v>34</v>
      </c>
      <c r="B231" s="7">
        <v>2.5299999999999998</v>
      </c>
      <c r="C231" s="7">
        <v>2.54</v>
      </c>
      <c r="D231" s="7">
        <v>2.4500000000000002</v>
      </c>
      <c r="E231" s="7">
        <v>2.48</v>
      </c>
    </row>
    <row r="232" spans="1:5" x14ac:dyDescent="0.2">
      <c r="A232" s="2" t="s">
        <v>33</v>
      </c>
      <c r="B232" s="7">
        <v>2.44</v>
      </c>
      <c r="C232" s="7">
        <v>2.4700000000000002</v>
      </c>
      <c r="D232" s="7">
        <v>2.41</v>
      </c>
      <c r="E232" s="7">
        <v>2.4300000000000002</v>
      </c>
    </row>
    <row r="233" spans="1:5" x14ac:dyDescent="0.2">
      <c r="A233" s="2" t="s">
        <v>32</v>
      </c>
      <c r="B233" s="7">
        <v>2.5099999999999998</v>
      </c>
      <c r="C233" s="7">
        <v>2.5550000000000002</v>
      </c>
      <c r="D233" s="7">
        <v>2.5099999999999998</v>
      </c>
      <c r="E233" s="7">
        <v>2.52</v>
      </c>
    </row>
    <row r="234" spans="1:5" x14ac:dyDescent="0.2">
      <c r="A234" s="2" t="s">
        <v>31</v>
      </c>
      <c r="B234" s="7">
        <v>2.54</v>
      </c>
      <c r="C234" s="7">
        <v>2.58</v>
      </c>
      <c r="D234" s="7">
        <v>2.52</v>
      </c>
      <c r="E234" s="7">
        <v>2.52</v>
      </c>
    </row>
    <row r="235" spans="1:5" x14ac:dyDescent="0.2">
      <c r="A235" s="2" t="s">
        <v>30</v>
      </c>
      <c r="B235" s="7">
        <v>2.52</v>
      </c>
      <c r="C235" s="7">
        <v>2.54</v>
      </c>
      <c r="D235" s="7">
        <v>2.48</v>
      </c>
      <c r="E235" s="7">
        <v>2.5299999999999998</v>
      </c>
    </row>
    <row r="236" spans="1:5" x14ac:dyDescent="0.2">
      <c r="A236" s="2" t="s">
        <v>29</v>
      </c>
      <c r="B236" s="7">
        <v>2.5299999999999998</v>
      </c>
      <c r="C236" s="7">
        <v>2.56</v>
      </c>
      <c r="D236" s="7">
        <v>2.4649999999999999</v>
      </c>
      <c r="E236" s="7">
        <v>2.4900000000000002</v>
      </c>
    </row>
    <row r="237" spans="1:5" x14ac:dyDescent="0.2">
      <c r="A237" s="2" t="s">
        <v>28</v>
      </c>
      <c r="B237" s="7">
        <v>2.4900000000000002</v>
      </c>
      <c r="C237" s="7">
        <v>2.5</v>
      </c>
      <c r="D237" s="7">
        <v>2.4300000000000002</v>
      </c>
      <c r="E237" s="7">
        <v>2.4300000000000002</v>
      </c>
    </row>
    <row r="238" spans="1:5" x14ac:dyDescent="0.2">
      <c r="A238" s="2" t="s">
        <v>27</v>
      </c>
      <c r="B238" s="7">
        <v>2.44</v>
      </c>
      <c r="C238" s="7">
        <v>2.46</v>
      </c>
      <c r="D238" s="7">
        <v>2.4</v>
      </c>
      <c r="E238" s="7">
        <v>2.41</v>
      </c>
    </row>
    <row r="239" spans="1:5" x14ac:dyDescent="0.2">
      <c r="A239" s="2" t="s">
        <v>26</v>
      </c>
      <c r="B239" s="7">
        <v>2.4900000000000002</v>
      </c>
      <c r="C239" s="7">
        <v>2.63</v>
      </c>
      <c r="D239" s="7">
        <v>2.4500000000000002</v>
      </c>
      <c r="E239" s="7">
        <v>2.63</v>
      </c>
    </row>
    <row r="240" spans="1:5" x14ac:dyDescent="0.2">
      <c r="A240" s="2" t="s">
        <v>25</v>
      </c>
      <c r="B240" s="7">
        <v>2.61</v>
      </c>
      <c r="C240" s="7">
        <v>2.68</v>
      </c>
      <c r="D240" s="7">
        <v>2.57</v>
      </c>
      <c r="E240" s="7">
        <v>2.62</v>
      </c>
    </row>
    <row r="241" spans="1:5" x14ac:dyDescent="0.2">
      <c r="A241" s="2" t="s">
        <v>24</v>
      </c>
      <c r="B241" s="7">
        <v>2.59</v>
      </c>
      <c r="C241" s="7">
        <v>2.69</v>
      </c>
      <c r="D241" s="7">
        <v>2.59</v>
      </c>
      <c r="E241" s="7">
        <v>2.67</v>
      </c>
    </row>
    <row r="242" spans="1:5" x14ac:dyDescent="0.2">
      <c r="A242" s="2" t="s">
        <v>23</v>
      </c>
      <c r="B242" s="7">
        <v>2.75</v>
      </c>
      <c r="C242" s="7">
        <v>2.8149999999999999</v>
      </c>
      <c r="D242" s="7">
        <v>2.7</v>
      </c>
      <c r="E242" s="7">
        <v>2.74</v>
      </c>
    </row>
    <row r="243" spans="1:5" x14ac:dyDescent="0.2">
      <c r="A243" s="2" t="s">
        <v>22</v>
      </c>
      <c r="B243" s="7">
        <v>2.76</v>
      </c>
      <c r="C243" s="7">
        <v>2.8</v>
      </c>
      <c r="D243" s="7">
        <v>2.7349999999999999</v>
      </c>
      <c r="E243" s="7">
        <v>2.77</v>
      </c>
    </row>
    <row r="244" spans="1:5" x14ac:dyDescent="0.2">
      <c r="A244" s="2" t="s">
        <v>21</v>
      </c>
      <c r="B244" s="7">
        <v>2.85</v>
      </c>
      <c r="C244" s="7">
        <v>2.85</v>
      </c>
      <c r="D244" s="7">
        <v>2.74</v>
      </c>
      <c r="E244" s="7">
        <v>2.74</v>
      </c>
    </row>
    <row r="245" spans="1:5" x14ac:dyDescent="0.2">
      <c r="A245" s="2" t="s">
        <v>20</v>
      </c>
      <c r="B245" s="7">
        <v>2.73</v>
      </c>
      <c r="C245" s="7">
        <v>2.73</v>
      </c>
      <c r="D245" s="7">
        <v>2.66</v>
      </c>
      <c r="E245" s="7">
        <v>2.71</v>
      </c>
    </row>
    <row r="246" spans="1:5" x14ac:dyDescent="0.2">
      <c r="A246" s="2" t="s">
        <v>19</v>
      </c>
      <c r="B246" s="7">
        <v>2.66</v>
      </c>
      <c r="C246" s="7">
        <v>2.67</v>
      </c>
      <c r="D246" s="7">
        <v>2.59</v>
      </c>
      <c r="E246" s="7">
        <v>2.61</v>
      </c>
    </row>
    <row r="247" spans="1:5" x14ac:dyDescent="0.2">
      <c r="A247" s="2" t="s">
        <v>18</v>
      </c>
      <c r="B247" s="7">
        <v>2.58</v>
      </c>
      <c r="C247" s="7">
        <v>2.64</v>
      </c>
      <c r="D247" s="7">
        <v>2.57</v>
      </c>
      <c r="E247" s="7">
        <v>2.63</v>
      </c>
    </row>
    <row r="248" spans="1:5" x14ac:dyDescent="0.2">
      <c r="A248" s="2" t="s">
        <v>17</v>
      </c>
      <c r="B248" s="7">
        <v>2.64</v>
      </c>
      <c r="C248" s="7">
        <v>2.66</v>
      </c>
      <c r="D248" s="7">
        <v>2.58</v>
      </c>
      <c r="E248" s="7">
        <v>2.59</v>
      </c>
    </row>
    <row r="249" spans="1:5" x14ac:dyDescent="0.2">
      <c r="A249" s="2" t="s">
        <v>16</v>
      </c>
      <c r="B249" s="7">
        <v>2.4900000000000002</v>
      </c>
      <c r="C249" s="7">
        <v>2.58</v>
      </c>
      <c r="D249" s="7">
        <v>2.48</v>
      </c>
      <c r="E249" s="7">
        <v>2.54</v>
      </c>
    </row>
    <row r="250" spans="1:5" x14ac:dyDescent="0.2">
      <c r="A250" s="2" t="s">
        <v>15</v>
      </c>
      <c r="B250" s="7">
        <v>2.5</v>
      </c>
      <c r="C250" s="7">
        <v>2.52</v>
      </c>
      <c r="D250" s="7">
        <v>2.4550000000000001</v>
      </c>
      <c r="E250" s="7">
        <v>2.5</v>
      </c>
    </row>
    <row r="251" spans="1:5" x14ac:dyDescent="0.2">
      <c r="A251" s="2" t="s">
        <v>14</v>
      </c>
      <c r="B251" s="7">
        <v>2.5099999999999998</v>
      </c>
      <c r="C251" s="7">
        <v>2.5649999999999999</v>
      </c>
      <c r="D251" s="7">
        <v>2.5</v>
      </c>
      <c r="E251" s="7">
        <v>2.54</v>
      </c>
    </row>
    <row r="252" spans="1:5" x14ac:dyDescent="0.2">
      <c r="A252" s="2" t="s">
        <v>13</v>
      </c>
      <c r="B252" s="7">
        <v>2.54</v>
      </c>
      <c r="C252" s="7">
        <v>2.57</v>
      </c>
      <c r="D252" s="7">
        <v>2.5</v>
      </c>
      <c r="E252" s="7">
        <v>2.5299999999999998</v>
      </c>
    </row>
    <row r="253" spans="1:5" x14ac:dyDescent="0.2">
      <c r="A253" s="2" t="s">
        <v>12</v>
      </c>
      <c r="B253" s="7">
        <v>2.5299999999999998</v>
      </c>
      <c r="C253" s="7">
        <v>2.56</v>
      </c>
      <c r="D253" s="7">
        <v>2.5049999999999999</v>
      </c>
      <c r="E253" s="7">
        <v>2.5499999999999998</v>
      </c>
    </row>
    <row r="254" spans="1:5" x14ac:dyDescent="0.2">
      <c r="A254" s="2" t="s">
        <v>11</v>
      </c>
      <c r="B254" s="7">
        <v>2.52</v>
      </c>
      <c r="C254" s="7">
        <v>2.5499999999999998</v>
      </c>
      <c r="D254" s="7">
        <v>2.4900000000000002</v>
      </c>
      <c r="E254" s="7">
        <v>2.52</v>
      </c>
    </row>
    <row r="255" spans="1:5" x14ac:dyDescent="0.2">
      <c r="A255" s="2" t="s">
        <v>10</v>
      </c>
      <c r="B255" s="7">
        <v>2.4700000000000002</v>
      </c>
      <c r="C255" s="7">
        <v>2.48</v>
      </c>
      <c r="D255" s="7">
        <v>2.4350000000000001</v>
      </c>
      <c r="E255" s="7">
        <v>2.4700000000000002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3695-8BA1-ED43-9FEC-F9D33D563F90}">
  <dimension ref="A1:K255"/>
  <sheetViews>
    <sheetView topLeftCell="G2" zoomScale="108" workbookViewId="0">
      <selection activeCell="Y14" sqref="Y14"/>
    </sheetView>
  </sheetViews>
  <sheetFormatPr baseColWidth="10" defaultRowHeight="16" x14ac:dyDescent="0.2"/>
  <cols>
    <col min="1" max="1" width="16.6640625" style="9" customWidth="1"/>
    <col min="2" max="6" width="16.6640625" style="4" customWidth="1"/>
    <col min="7" max="7" width="25" style="4" customWidth="1"/>
    <col min="8" max="8" width="16.6640625" style="4" customWidth="1"/>
  </cols>
  <sheetData>
    <row r="1" spans="1:11" ht="15" customHeight="1" x14ac:dyDescent="0.2">
      <c r="A1" s="8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J1" s="1" t="s">
        <v>264</v>
      </c>
      <c r="K1">
        <v>7.4297699999999994E-2</v>
      </c>
    </row>
    <row r="2" spans="1:11" ht="15" customHeight="1" x14ac:dyDescent="0.2">
      <c r="A2" s="9" t="s">
        <v>263</v>
      </c>
      <c r="B2" s="3">
        <v>1.7749999999999999</v>
      </c>
      <c r="C2" s="3">
        <v>1.778</v>
      </c>
      <c r="D2" s="3">
        <v>1.7350000000000001</v>
      </c>
      <c r="E2" s="3">
        <v>1.74</v>
      </c>
      <c r="F2" s="3">
        <v>1691953</v>
      </c>
      <c r="G2" s="3">
        <v>1913.76</v>
      </c>
      <c r="H2" s="3">
        <v>1099862562</v>
      </c>
      <c r="I2" s="5"/>
    </row>
    <row r="3" spans="1:11" ht="15" customHeight="1" x14ac:dyDescent="0.2">
      <c r="A3" s="9" t="s">
        <v>262</v>
      </c>
      <c r="B3" s="3">
        <v>1.7050000000000001</v>
      </c>
      <c r="C3" s="3">
        <v>1.72</v>
      </c>
      <c r="D3" s="3">
        <v>1.6850000000000001</v>
      </c>
      <c r="E3" s="3">
        <v>1.69</v>
      </c>
      <c r="F3" s="3">
        <v>2158486</v>
      </c>
      <c r="G3" s="3">
        <v>1858.77</v>
      </c>
      <c r="H3" s="3">
        <v>1099862562</v>
      </c>
      <c r="J3" s="3"/>
    </row>
    <row r="4" spans="1:11" ht="15" customHeight="1" x14ac:dyDescent="0.2">
      <c r="A4" s="9" t="s">
        <v>261</v>
      </c>
      <c r="B4" s="3">
        <v>1.66</v>
      </c>
      <c r="C4" s="3">
        <v>1.677</v>
      </c>
      <c r="D4" s="3">
        <v>1.615</v>
      </c>
      <c r="E4" s="3">
        <v>1.625</v>
      </c>
      <c r="F4" s="3">
        <v>4297585</v>
      </c>
      <c r="G4" s="3">
        <v>1787.28</v>
      </c>
      <c r="H4" s="3">
        <v>1099862562</v>
      </c>
    </row>
    <row r="5" spans="1:11" ht="15" customHeight="1" x14ac:dyDescent="0.2">
      <c r="A5" s="9" t="s">
        <v>260</v>
      </c>
      <c r="B5" s="3">
        <v>1.645</v>
      </c>
      <c r="C5" s="3">
        <v>1.655</v>
      </c>
      <c r="D5" s="3">
        <v>1.62</v>
      </c>
      <c r="E5" s="3">
        <v>1.625</v>
      </c>
      <c r="F5" s="3">
        <v>2078349</v>
      </c>
      <c r="G5" s="3">
        <v>1787.28</v>
      </c>
      <c r="H5" s="3">
        <v>1099862562</v>
      </c>
    </row>
    <row r="6" spans="1:11" ht="15" customHeight="1" x14ac:dyDescent="0.2">
      <c r="A6" s="9" t="s">
        <v>259</v>
      </c>
      <c r="B6" s="3">
        <v>1.615</v>
      </c>
      <c r="C6" s="3">
        <v>1.63</v>
      </c>
      <c r="D6" s="3">
        <v>1.6</v>
      </c>
      <c r="E6" s="3">
        <v>1.63</v>
      </c>
      <c r="F6" s="3">
        <v>2400388</v>
      </c>
      <c r="G6" s="3">
        <v>1792.78</v>
      </c>
      <c r="H6" s="3">
        <v>1099862562</v>
      </c>
    </row>
    <row r="7" spans="1:11" ht="15" customHeight="1" x14ac:dyDescent="0.2">
      <c r="A7" s="9" t="s">
        <v>258</v>
      </c>
      <c r="B7" s="3">
        <v>1.64</v>
      </c>
      <c r="C7" s="3">
        <v>1.655</v>
      </c>
      <c r="D7" s="3">
        <v>1.6</v>
      </c>
      <c r="E7" s="3">
        <v>1.605</v>
      </c>
      <c r="F7" s="3">
        <v>2406963</v>
      </c>
      <c r="G7" s="3">
        <v>1765.28</v>
      </c>
      <c r="H7" s="3">
        <v>1099862562</v>
      </c>
    </row>
    <row r="8" spans="1:11" ht="15" customHeight="1" x14ac:dyDescent="0.2">
      <c r="A8" s="9" t="s">
        <v>257</v>
      </c>
      <c r="B8" s="3">
        <v>1.6</v>
      </c>
      <c r="C8" s="3">
        <v>1.61</v>
      </c>
      <c r="D8" s="3">
        <v>1.575</v>
      </c>
      <c r="E8" s="3">
        <v>1.59</v>
      </c>
      <c r="F8" s="3">
        <v>1291516</v>
      </c>
      <c r="G8" s="3">
        <v>1748.78</v>
      </c>
      <c r="H8" s="3">
        <v>1099862562</v>
      </c>
    </row>
    <row r="9" spans="1:11" ht="15" customHeight="1" x14ac:dyDescent="0.2">
      <c r="A9" s="9" t="s">
        <v>256</v>
      </c>
      <c r="B9" s="3">
        <v>1.585</v>
      </c>
      <c r="C9" s="3">
        <v>1.625</v>
      </c>
      <c r="D9" s="3">
        <v>1.56</v>
      </c>
      <c r="E9" s="3">
        <v>1.615</v>
      </c>
      <c r="F9" s="3">
        <v>2849643</v>
      </c>
      <c r="G9" s="3">
        <v>1776.28</v>
      </c>
      <c r="H9" s="3">
        <v>1099862562</v>
      </c>
    </row>
    <row r="10" spans="1:11" ht="15" customHeight="1" x14ac:dyDescent="0.2">
      <c r="A10" s="9" t="s">
        <v>255</v>
      </c>
      <c r="B10" s="3">
        <v>1.6</v>
      </c>
      <c r="C10" s="3">
        <v>1.625</v>
      </c>
      <c r="D10" s="3">
        <v>1.58</v>
      </c>
      <c r="E10" s="3">
        <v>1.62</v>
      </c>
      <c r="F10" s="3">
        <v>3232746</v>
      </c>
      <c r="G10" s="3">
        <v>1781.78</v>
      </c>
      <c r="H10" s="3">
        <v>1099862562</v>
      </c>
    </row>
    <row r="11" spans="1:11" ht="15" customHeight="1" x14ac:dyDescent="0.2">
      <c r="A11" s="9" t="s">
        <v>254</v>
      </c>
      <c r="B11" s="3">
        <v>1.635</v>
      </c>
      <c r="C11" s="3">
        <v>1.655</v>
      </c>
      <c r="D11" s="3">
        <v>1.617</v>
      </c>
      <c r="E11" s="3">
        <v>1.64</v>
      </c>
      <c r="F11" s="3">
        <v>1598296</v>
      </c>
      <c r="G11" s="3">
        <v>1803.77</v>
      </c>
      <c r="H11" s="3">
        <v>1099862562</v>
      </c>
    </row>
    <row r="12" spans="1:11" ht="15" customHeight="1" x14ac:dyDescent="0.2">
      <c r="A12" s="9" t="s">
        <v>253</v>
      </c>
      <c r="B12" s="3">
        <v>1.63</v>
      </c>
      <c r="C12" s="3">
        <v>1.665</v>
      </c>
      <c r="D12" s="3">
        <v>1.615</v>
      </c>
      <c r="E12" s="3">
        <v>1.65</v>
      </c>
      <c r="F12" s="3">
        <v>2079745</v>
      </c>
      <c r="G12" s="3">
        <v>1814.77</v>
      </c>
      <c r="H12" s="3">
        <v>1099862562</v>
      </c>
    </row>
    <row r="13" spans="1:11" ht="15" customHeight="1" x14ac:dyDescent="0.2">
      <c r="A13" s="9" t="s">
        <v>252</v>
      </c>
      <c r="B13" s="3">
        <v>1.6</v>
      </c>
      <c r="C13" s="3">
        <v>1.623</v>
      </c>
      <c r="D13" s="3">
        <v>1.575</v>
      </c>
      <c r="E13" s="3">
        <v>1.62</v>
      </c>
      <c r="F13" s="3">
        <v>2819960</v>
      </c>
      <c r="G13" s="3">
        <v>1781.78</v>
      </c>
      <c r="H13" s="3">
        <v>1099862562</v>
      </c>
    </row>
    <row r="14" spans="1:11" ht="15" customHeight="1" x14ac:dyDescent="0.2">
      <c r="A14" s="9" t="s">
        <v>251</v>
      </c>
      <c r="B14" s="3">
        <v>1.58</v>
      </c>
      <c r="C14" s="3">
        <v>1.617</v>
      </c>
      <c r="D14" s="3">
        <v>1.575</v>
      </c>
      <c r="E14" s="3">
        <v>1.59</v>
      </c>
      <c r="F14" s="3">
        <v>2256374</v>
      </c>
      <c r="G14" s="3">
        <v>1748.78</v>
      </c>
      <c r="H14" s="3">
        <v>1099862562</v>
      </c>
    </row>
    <row r="15" spans="1:11" ht="15" customHeight="1" x14ac:dyDescent="0.2">
      <c r="A15" s="9" t="s">
        <v>250</v>
      </c>
      <c r="B15" s="3">
        <v>1.62</v>
      </c>
      <c r="C15" s="3">
        <v>1.633</v>
      </c>
      <c r="D15" s="3">
        <v>1.59</v>
      </c>
      <c r="E15" s="3">
        <v>1.605</v>
      </c>
      <c r="F15" s="3">
        <v>1678880</v>
      </c>
      <c r="G15" s="3">
        <v>1765.28</v>
      </c>
      <c r="H15" s="3">
        <v>1099862562</v>
      </c>
    </row>
    <row r="16" spans="1:11" ht="15" customHeight="1" x14ac:dyDescent="0.2">
      <c r="A16" s="9" t="s">
        <v>249</v>
      </c>
      <c r="B16" s="3">
        <v>1.61</v>
      </c>
      <c r="C16" s="3">
        <v>1.625</v>
      </c>
      <c r="D16" s="3">
        <v>1.587</v>
      </c>
      <c r="E16" s="3">
        <v>1.605</v>
      </c>
      <c r="F16" s="3">
        <v>1900865</v>
      </c>
      <c r="G16" s="3">
        <v>1765.28</v>
      </c>
      <c r="H16" s="3">
        <v>1099862562</v>
      </c>
    </row>
    <row r="17" spans="1:8" ht="15" customHeight="1" x14ac:dyDescent="0.2">
      <c r="A17" s="9" t="s">
        <v>248</v>
      </c>
      <c r="B17" s="3">
        <v>1.61</v>
      </c>
      <c r="C17" s="3">
        <v>1.61</v>
      </c>
      <c r="D17" s="3">
        <v>1.52</v>
      </c>
      <c r="E17" s="3">
        <v>1.53</v>
      </c>
      <c r="F17" s="3">
        <v>2114082</v>
      </c>
      <c r="G17" s="3">
        <v>1682.79</v>
      </c>
      <c r="H17" s="3">
        <v>1099862562</v>
      </c>
    </row>
    <row r="18" spans="1:8" ht="15" customHeight="1" x14ac:dyDescent="0.2">
      <c r="A18" s="9" t="s">
        <v>247</v>
      </c>
      <c r="B18" s="3">
        <v>1.54</v>
      </c>
      <c r="C18" s="3">
        <v>1.62</v>
      </c>
      <c r="D18" s="3">
        <v>1.5149999999999999</v>
      </c>
      <c r="E18" s="3">
        <v>1.585</v>
      </c>
      <c r="F18" s="3">
        <v>4654978</v>
      </c>
      <c r="G18" s="3">
        <v>1743.28</v>
      </c>
      <c r="H18" s="3">
        <v>1099862562</v>
      </c>
    </row>
    <row r="19" spans="1:8" ht="15" customHeight="1" x14ac:dyDescent="0.2">
      <c r="A19" s="9" t="s">
        <v>246</v>
      </c>
      <c r="B19" s="3">
        <v>1.585</v>
      </c>
      <c r="C19" s="3">
        <v>1.593</v>
      </c>
      <c r="D19" s="3">
        <v>1.5449999999999999</v>
      </c>
      <c r="E19" s="3">
        <v>1.5649999999999999</v>
      </c>
      <c r="F19" s="3">
        <v>2058873</v>
      </c>
      <c r="G19" s="3">
        <v>1721.28</v>
      </c>
      <c r="H19" s="3">
        <v>1099862562</v>
      </c>
    </row>
    <row r="20" spans="1:8" ht="15" customHeight="1" x14ac:dyDescent="0.2">
      <c r="A20" s="9" t="s">
        <v>245</v>
      </c>
      <c r="B20" s="3">
        <v>1.5449999999999999</v>
      </c>
      <c r="C20" s="3">
        <v>1.5649999999999999</v>
      </c>
      <c r="D20" s="3">
        <v>1.4850000000000001</v>
      </c>
      <c r="E20" s="3">
        <v>1.5549999999999999</v>
      </c>
      <c r="F20" s="3">
        <v>4010051</v>
      </c>
      <c r="G20" s="3">
        <v>1710.29</v>
      </c>
      <c r="H20" s="3">
        <v>1099862562</v>
      </c>
    </row>
    <row r="21" spans="1:8" ht="15" customHeight="1" x14ac:dyDescent="0.2">
      <c r="A21" s="9" t="s">
        <v>244</v>
      </c>
      <c r="B21" s="3">
        <v>1.5649999999999999</v>
      </c>
      <c r="C21" s="3">
        <v>1.613</v>
      </c>
      <c r="D21" s="3">
        <v>1.5449999999999999</v>
      </c>
      <c r="E21" s="3">
        <v>1.6</v>
      </c>
      <c r="F21" s="3">
        <v>2171692</v>
      </c>
      <c r="G21" s="3">
        <v>1759.78</v>
      </c>
      <c r="H21" s="3">
        <v>1099862562</v>
      </c>
    </row>
    <row r="22" spans="1:8" ht="15" customHeight="1" x14ac:dyDescent="0.2">
      <c r="A22" s="9" t="s">
        <v>243</v>
      </c>
      <c r="B22" s="3">
        <v>1.59</v>
      </c>
      <c r="C22" s="3">
        <v>1.635</v>
      </c>
      <c r="D22" s="3">
        <v>1.5649999999999999</v>
      </c>
      <c r="E22" s="3">
        <v>1.625</v>
      </c>
      <c r="F22" s="3">
        <v>2709345</v>
      </c>
      <c r="G22" s="3">
        <v>1787.28</v>
      </c>
      <c r="H22" s="3">
        <v>1099862562</v>
      </c>
    </row>
    <row r="23" spans="1:8" ht="15" customHeight="1" x14ac:dyDescent="0.2">
      <c r="A23" s="9" t="s">
        <v>242</v>
      </c>
      <c r="B23" s="3">
        <v>1.6</v>
      </c>
      <c r="C23" s="3">
        <v>1.61</v>
      </c>
      <c r="D23" s="3">
        <v>1.5349999999999999</v>
      </c>
      <c r="E23" s="3">
        <v>1.605</v>
      </c>
      <c r="F23" s="3">
        <v>2991972</v>
      </c>
      <c r="G23" s="3">
        <v>1765.28</v>
      </c>
      <c r="H23" s="3">
        <v>1099862562</v>
      </c>
    </row>
    <row r="24" spans="1:8" ht="15" customHeight="1" x14ac:dyDescent="0.2">
      <c r="A24" s="9" t="s">
        <v>241</v>
      </c>
      <c r="B24" s="3">
        <v>1.66</v>
      </c>
      <c r="C24" s="3">
        <v>1.74</v>
      </c>
      <c r="D24" s="3">
        <v>1.66</v>
      </c>
      <c r="E24" s="3">
        <v>1.6950000000000001</v>
      </c>
      <c r="F24" s="3">
        <v>4467327</v>
      </c>
      <c r="G24" s="3">
        <v>1864.27</v>
      </c>
      <c r="H24" s="3">
        <v>1099862562</v>
      </c>
    </row>
    <row r="25" spans="1:8" ht="15" customHeight="1" x14ac:dyDescent="0.2">
      <c r="A25" s="9" t="s">
        <v>240</v>
      </c>
      <c r="B25" s="3">
        <v>1.645</v>
      </c>
      <c r="C25" s="3">
        <v>1.65</v>
      </c>
      <c r="D25" s="3">
        <v>1.585</v>
      </c>
      <c r="E25" s="3">
        <v>1.605</v>
      </c>
      <c r="F25" s="3">
        <v>4138295</v>
      </c>
      <c r="G25" s="3">
        <v>1765.28</v>
      </c>
      <c r="H25" s="3">
        <v>1099862562</v>
      </c>
    </row>
    <row r="26" spans="1:8" ht="15" customHeight="1" x14ac:dyDescent="0.2">
      <c r="A26" s="9" t="s">
        <v>239</v>
      </c>
      <c r="B26" s="3">
        <v>1.6</v>
      </c>
      <c r="C26" s="3">
        <v>1.62</v>
      </c>
      <c r="D26" s="3">
        <v>1.5649999999999999</v>
      </c>
      <c r="E26" s="3">
        <v>1.585</v>
      </c>
      <c r="F26" s="3">
        <v>2861264</v>
      </c>
      <c r="G26" s="3">
        <v>1743.28</v>
      </c>
      <c r="H26" s="3">
        <v>1099862562</v>
      </c>
    </row>
    <row r="27" spans="1:8" ht="15" customHeight="1" x14ac:dyDescent="0.2">
      <c r="A27" s="9" t="s">
        <v>238</v>
      </c>
      <c r="B27" s="3">
        <v>1.6</v>
      </c>
      <c r="C27" s="3">
        <v>1.607</v>
      </c>
      <c r="D27" s="3">
        <v>1.57</v>
      </c>
      <c r="E27" s="3">
        <v>1.605</v>
      </c>
      <c r="F27" s="3">
        <v>1507183</v>
      </c>
      <c r="G27" s="3">
        <v>1765.28</v>
      </c>
      <c r="H27" s="3">
        <v>1099862562</v>
      </c>
    </row>
    <row r="28" spans="1:8" ht="15" customHeight="1" x14ac:dyDescent="0.2">
      <c r="A28" s="9" t="s">
        <v>237</v>
      </c>
      <c r="B28" s="3">
        <v>1.605</v>
      </c>
      <c r="C28" s="3">
        <v>1.65</v>
      </c>
      <c r="D28" s="3">
        <v>1.587</v>
      </c>
      <c r="E28" s="3">
        <v>1.61</v>
      </c>
      <c r="F28" s="3">
        <v>2253562</v>
      </c>
      <c r="G28" s="3">
        <v>1770.78</v>
      </c>
      <c r="H28" s="3">
        <v>1099862562</v>
      </c>
    </row>
    <row r="29" spans="1:8" ht="15" customHeight="1" x14ac:dyDescent="0.2">
      <c r="A29" s="9" t="s">
        <v>236</v>
      </c>
      <c r="B29" s="3">
        <v>1.6</v>
      </c>
      <c r="C29" s="3">
        <v>1.605</v>
      </c>
      <c r="D29" s="3">
        <v>1.55</v>
      </c>
      <c r="E29" s="3">
        <v>1.56</v>
      </c>
      <c r="F29" s="3">
        <v>2033747</v>
      </c>
      <c r="G29" s="3">
        <v>1749.98</v>
      </c>
      <c r="H29" s="3">
        <v>1121780094</v>
      </c>
    </row>
    <row r="30" spans="1:8" ht="15" customHeight="1" x14ac:dyDescent="0.2">
      <c r="A30" s="9" t="s">
        <v>235</v>
      </c>
      <c r="B30" s="3">
        <v>1.585</v>
      </c>
      <c r="C30" s="3">
        <v>1.585</v>
      </c>
      <c r="D30" s="3">
        <v>1.54</v>
      </c>
      <c r="E30" s="3">
        <v>1.54</v>
      </c>
      <c r="F30" s="3">
        <v>1047305</v>
      </c>
      <c r="G30" s="3">
        <v>1727.54</v>
      </c>
      <c r="H30" s="3">
        <v>1121780094</v>
      </c>
    </row>
    <row r="31" spans="1:8" ht="15" customHeight="1" x14ac:dyDescent="0.2">
      <c r="A31" s="9" t="s">
        <v>234</v>
      </c>
      <c r="B31" s="3">
        <v>1.5649999999999999</v>
      </c>
      <c r="C31" s="3">
        <v>1.605</v>
      </c>
      <c r="D31" s="3">
        <v>1.55</v>
      </c>
      <c r="E31" s="3">
        <v>1.57</v>
      </c>
      <c r="F31" s="3">
        <v>1872213</v>
      </c>
      <c r="G31" s="3">
        <v>1761.19</v>
      </c>
      <c r="H31" s="3">
        <v>1121780094</v>
      </c>
    </row>
    <row r="32" spans="1:8" ht="15" customHeight="1" x14ac:dyDescent="0.2">
      <c r="A32" s="9" t="s">
        <v>233</v>
      </c>
      <c r="B32" s="3">
        <v>1.51</v>
      </c>
      <c r="C32" s="3">
        <v>1.532</v>
      </c>
      <c r="D32" s="3">
        <v>1.4650000000000001</v>
      </c>
      <c r="E32" s="3">
        <v>1.52</v>
      </c>
      <c r="F32" s="3">
        <v>2758420</v>
      </c>
      <c r="G32" s="3">
        <v>1705.11</v>
      </c>
      <c r="H32" s="3">
        <v>1121780094</v>
      </c>
    </row>
    <row r="33" spans="1:8" ht="15" customHeight="1" x14ac:dyDescent="0.2">
      <c r="A33" s="9" t="s">
        <v>232</v>
      </c>
      <c r="B33" s="3">
        <v>1.5149999999999999</v>
      </c>
      <c r="C33" s="3">
        <v>1.54</v>
      </c>
      <c r="D33" s="3">
        <v>1.5</v>
      </c>
      <c r="E33" s="3">
        <v>1.5049999999999999</v>
      </c>
      <c r="F33" s="3">
        <v>3018443</v>
      </c>
      <c r="G33" s="3">
        <v>1688.28</v>
      </c>
      <c r="H33" s="3">
        <v>1121780094</v>
      </c>
    </row>
    <row r="34" spans="1:8" ht="15" customHeight="1" x14ac:dyDescent="0.2">
      <c r="A34" s="9" t="s">
        <v>231</v>
      </c>
      <c r="B34" s="3">
        <v>1.55</v>
      </c>
      <c r="C34" s="3">
        <v>1.57</v>
      </c>
      <c r="D34" s="3">
        <v>1.5149999999999999</v>
      </c>
      <c r="E34" s="3">
        <v>1.5249999999999999</v>
      </c>
      <c r="F34" s="3">
        <v>2049513</v>
      </c>
      <c r="G34" s="3">
        <v>1710.71</v>
      </c>
      <c r="H34" s="3">
        <v>1121780094</v>
      </c>
    </row>
    <row r="35" spans="1:8" ht="15" customHeight="1" x14ac:dyDescent="0.2">
      <c r="A35" s="9" t="s">
        <v>230</v>
      </c>
      <c r="B35" s="3">
        <v>1.5249999999999999</v>
      </c>
      <c r="C35" s="3">
        <v>1.53</v>
      </c>
      <c r="D35" s="3">
        <v>1.5049999999999999</v>
      </c>
      <c r="E35" s="3">
        <v>1.5249999999999999</v>
      </c>
      <c r="F35" s="3">
        <v>1991462</v>
      </c>
      <c r="G35" s="3">
        <v>1710.71</v>
      </c>
      <c r="H35" s="3">
        <v>1121780094</v>
      </c>
    </row>
    <row r="36" spans="1:8" ht="15" customHeight="1" x14ac:dyDescent="0.2">
      <c r="A36" s="9" t="s">
        <v>229</v>
      </c>
      <c r="B36" s="3">
        <v>1.53</v>
      </c>
      <c r="C36" s="3">
        <v>1.542</v>
      </c>
      <c r="D36" s="3">
        <v>1.51</v>
      </c>
      <c r="E36" s="3">
        <v>1.54</v>
      </c>
      <c r="F36" s="3">
        <v>1701695</v>
      </c>
      <c r="G36" s="3">
        <v>1727.54</v>
      </c>
      <c r="H36" s="3">
        <v>1121780094</v>
      </c>
    </row>
    <row r="37" spans="1:8" ht="15" customHeight="1" x14ac:dyDescent="0.2">
      <c r="A37" s="9" t="s">
        <v>228</v>
      </c>
      <c r="B37" s="3">
        <v>1.5549999999999999</v>
      </c>
      <c r="C37" s="3">
        <v>1.595</v>
      </c>
      <c r="D37" s="3">
        <v>1.55</v>
      </c>
      <c r="E37" s="3">
        <v>1.5649999999999999</v>
      </c>
      <c r="F37" s="3">
        <v>3085938</v>
      </c>
      <c r="G37" s="3">
        <v>1755.59</v>
      </c>
      <c r="H37" s="3">
        <v>1121780094</v>
      </c>
    </row>
    <row r="38" spans="1:8" ht="15" customHeight="1" x14ac:dyDescent="0.2">
      <c r="A38" s="9" t="s">
        <v>227</v>
      </c>
      <c r="B38" s="3">
        <v>1.55</v>
      </c>
      <c r="C38" s="3">
        <v>1.57</v>
      </c>
      <c r="D38" s="3">
        <v>1.52</v>
      </c>
      <c r="E38" s="3">
        <v>1.5549999999999999</v>
      </c>
      <c r="F38" s="3">
        <v>1506630</v>
      </c>
      <c r="G38" s="3">
        <v>1744.37</v>
      </c>
      <c r="H38" s="3">
        <v>1121780094</v>
      </c>
    </row>
    <row r="39" spans="1:8" ht="15" customHeight="1" x14ac:dyDescent="0.2">
      <c r="A39" s="9" t="s">
        <v>226</v>
      </c>
      <c r="B39" s="3">
        <v>1.54</v>
      </c>
      <c r="C39" s="3">
        <v>1.5649999999999999</v>
      </c>
      <c r="D39" s="3">
        <v>1.54</v>
      </c>
      <c r="E39" s="3">
        <v>1.56</v>
      </c>
      <c r="F39" s="3">
        <v>1020411</v>
      </c>
      <c r="G39" s="3">
        <v>1749.98</v>
      </c>
      <c r="H39" s="3">
        <v>1121780094</v>
      </c>
    </row>
    <row r="40" spans="1:8" ht="15" customHeight="1" x14ac:dyDescent="0.2">
      <c r="A40" s="9" t="s">
        <v>225</v>
      </c>
      <c r="B40" s="3">
        <v>1.59</v>
      </c>
      <c r="C40" s="3">
        <v>1.625</v>
      </c>
      <c r="D40" s="3">
        <v>1.585</v>
      </c>
      <c r="E40" s="3">
        <v>1.61</v>
      </c>
      <c r="F40" s="3">
        <v>1607070</v>
      </c>
      <c r="G40" s="3">
        <v>1806.31</v>
      </c>
      <c r="H40" s="3">
        <v>1121933336</v>
      </c>
    </row>
    <row r="41" spans="1:8" ht="15" customHeight="1" x14ac:dyDescent="0.2">
      <c r="A41" s="9" t="s">
        <v>224</v>
      </c>
      <c r="B41" s="3">
        <v>1.59</v>
      </c>
      <c r="C41" s="3">
        <v>1.6</v>
      </c>
      <c r="D41" s="3">
        <v>1.52</v>
      </c>
      <c r="E41" s="3">
        <v>1.57</v>
      </c>
      <c r="F41" s="3">
        <v>3124151</v>
      </c>
      <c r="G41" s="3">
        <v>1761.44</v>
      </c>
      <c r="H41" s="3">
        <v>1121933336</v>
      </c>
    </row>
    <row r="42" spans="1:8" ht="15" customHeight="1" x14ac:dyDescent="0.2">
      <c r="A42" s="9" t="s">
        <v>223</v>
      </c>
      <c r="B42" s="3">
        <v>1.59</v>
      </c>
      <c r="C42" s="3">
        <v>1.615</v>
      </c>
      <c r="D42" s="3">
        <v>1.57</v>
      </c>
      <c r="E42" s="3">
        <v>1.575</v>
      </c>
      <c r="F42" s="3">
        <v>2456865</v>
      </c>
      <c r="G42" s="3">
        <v>1767.05</v>
      </c>
      <c r="H42" s="3">
        <v>1121933336</v>
      </c>
    </row>
    <row r="43" spans="1:8" ht="15" customHeight="1" x14ac:dyDescent="0.2">
      <c r="A43" s="9" t="s">
        <v>222</v>
      </c>
      <c r="B43" s="3">
        <v>1.57</v>
      </c>
      <c r="C43" s="3">
        <v>1.57</v>
      </c>
      <c r="D43" s="3">
        <v>1.48</v>
      </c>
      <c r="E43" s="3">
        <v>1.53</v>
      </c>
      <c r="F43" s="3">
        <v>7744766</v>
      </c>
      <c r="G43" s="3">
        <v>1716.56</v>
      </c>
      <c r="H43" s="3">
        <v>1121933336</v>
      </c>
    </row>
    <row r="44" spans="1:8" ht="15" customHeight="1" x14ac:dyDescent="0.2">
      <c r="A44" s="9" t="s">
        <v>221</v>
      </c>
      <c r="B44" s="3">
        <v>1.5449999999999999</v>
      </c>
      <c r="C44" s="3">
        <v>1.58</v>
      </c>
      <c r="D44" s="3">
        <v>1.5449999999999999</v>
      </c>
      <c r="E44" s="3">
        <v>1.58</v>
      </c>
      <c r="F44" s="3">
        <v>4120456</v>
      </c>
      <c r="G44" s="3">
        <v>1772.65</v>
      </c>
      <c r="H44" s="3">
        <v>1121933336</v>
      </c>
    </row>
    <row r="45" spans="1:8" ht="15" customHeight="1" x14ac:dyDescent="0.2">
      <c r="A45" s="9" t="s">
        <v>220</v>
      </c>
      <c r="B45" s="3">
        <v>1.625</v>
      </c>
      <c r="C45" s="3">
        <v>1.72</v>
      </c>
      <c r="D45" s="3">
        <v>1.625</v>
      </c>
      <c r="E45" s="3">
        <v>1.7</v>
      </c>
      <c r="F45" s="3">
        <v>4861599</v>
      </c>
      <c r="G45" s="3">
        <v>1907.29</v>
      </c>
      <c r="H45" s="3">
        <v>1121933336</v>
      </c>
    </row>
    <row r="46" spans="1:8" ht="15" customHeight="1" x14ac:dyDescent="0.2">
      <c r="A46" s="9" t="s">
        <v>219</v>
      </c>
      <c r="B46" s="3">
        <v>1.7450000000000001</v>
      </c>
      <c r="C46" s="3">
        <v>1.84</v>
      </c>
      <c r="D46" s="3">
        <v>1.7250000000000001</v>
      </c>
      <c r="E46" s="3">
        <v>1.825</v>
      </c>
      <c r="F46" s="3">
        <v>9633247</v>
      </c>
      <c r="G46" s="3">
        <v>2047.53</v>
      </c>
      <c r="H46" s="3">
        <v>1121933336</v>
      </c>
    </row>
    <row r="47" spans="1:8" ht="15" customHeight="1" x14ac:dyDescent="0.2">
      <c r="A47" s="9" t="s">
        <v>218</v>
      </c>
      <c r="B47" s="3">
        <v>1.82</v>
      </c>
      <c r="C47" s="3">
        <v>1.865</v>
      </c>
      <c r="D47" s="3">
        <v>1.82</v>
      </c>
      <c r="E47" s="3">
        <v>1.855</v>
      </c>
      <c r="F47" s="3">
        <v>7716550</v>
      </c>
      <c r="G47" s="3">
        <v>2081.19</v>
      </c>
      <c r="H47" s="3">
        <v>1121933336</v>
      </c>
    </row>
    <row r="48" spans="1:8" ht="15" customHeight="1" x14ac:dyDescent="0.2">
      <c r="A48" s="9" t="s">
        <v>217</v>
      </c>
      <c r="B48" s="3">
        <v>1.875</v>
      </c>
      <c r="C48" s="3">
        <v>1.9850000000000001</v>
      </c>
      <c r="D48" s="3">
        <v>1.875</v>
      </c>
      <c r="E48" s="3">
        <v>1.917</v>
      </c>
      <c r="F48" s="3">
        <v>5796370</v>
      </c>
      <c r="G48" s="3">
        <v>2151.31</v>
      </c>
      <c r="H48" s="3">
        <v>1121933336</v>
      </c>
    </row>
    <row r="49" spans="1:8" ht="15" customHeight="1" x14ac:dyDescent="0.2">
      <c r="A49" s="9" t="s">
        <v>216</v>
      </c>
      <c r="B49" s="3">
        <v>1.915</v>
      </c>
      <c r="C49" s="3">
        <v>1.92</v>
      </c>
      <c r="D49" s="3">
        <v>1.837</v>
      </c>
      <c r="E49" s="3">
        <v>1.86</v>
      </c>
      <c r="F49" s="3">
        <v>9841987</v>
      </c>
      <c r="G49" s="3">
        <v>2086.8000000000002</v>
      </c>
      <c r="H49" s="3">
        <v>1121933336</v>
      </c>
    </row>
    <row r="50" spans="1:8" ht="15" customHeight="1" x14ac:dyDescent="0.2">
      <c r="A50" s="9" t="s">
        <v>215</v>
      </c>
      <c r="B50" s="3">
        <v>1.88</v>
      </c>
      <c r="C50" s="3">
        <v>1.905</v>
      </c>
      <c r="D50" s="3">
        <v>1.84</v>
      </c>
      <c r="E50" s="3">
        <v>1.87</v>
      </c>
      <c r="F50" s="3">
        <v>3768559</v>
      </c>
      <c r="G50" s="3">
        <v>2098.02</v>
      </c>
      <c r="H50" s="3">
        <v>1121933336</v>
      </c>
    </row>
    <row r="51" spans="1:8" ht="15" customHeight="1" x14ac:dyDescent="0.2">
      <c r="A51" s="9" t="s">
        <v>214</v>
      </c>
      <c r="B51" s="3">
        <v>1.885</v>
      </c>
      <c r="C51" s="3">
        <v>1.915</v>
      </c>
      <c r="D51" s="3">
        <v>1.87</v>
      </c>
      <c r="E51" s="3">
        <v>1.895</v>
      </c>
      <c r="F51" s="3">
        <v>2929826</v>
      </c>
      <c r="G51" s="3">
        <v>2126.06</v>
      </c>
      <c r="H51" s="3">
        <v>1121933336</v>
      </c>
    </row>
    <row r="52" spans="1:8" ht="15" customHeight="1" x14ac:dyDescent="0.2">
      <c r="A52" s="9" t="s">
        <v>213</v>
      </c>
      <c r="B52" s="3">
        <v>1.89</v>
      </c>
      <c r="C52" s="3">
        <v>1.91</v>
      </c>
      <c r="D52" s="3">
        <v>1.837</v>
      </c>
      <c r="E52" s="3">
        <v>1.89</v>
      </c>
      <c r="F52" s="3">
        <v>4131043</v>
      </c>
      <c r="G52" s="3">
        <v>2120.4499999999998</v>
      </c>
      <c r="H52" s="3">
        <v>1121933336</v>
      </c>
    </row>
    <row r="53" spans="1:8" ht="15" customHeight="1" x14ac:dyDescent="0.2">
      <c r="A53" s="9" t="s">
        <v>212</v>
      </c>
      <c r="B53" s="3">
        <v>1.915</v>
      </c>
      <c r="C53" s="3">
        <v>1.95</v>
      </c>
      <c r="D53" s="3">
        <v>1.867</v>
      </c>
      <c r="E53" s="3">
        <v>1.895</v>
      </c>
      <c r="F53" s="3">
        <v>9945560</v>
      </c>
      <c r="G53" s="3">
        <v>2126.06</v>
      </c>
      <c r="H53" s="3">
        <v>1121933336</v>
      </c>
    </row>
    <row r="54" spans="1:8" ht="15" customHeight="1" x14ac:dyDescent="0.2">
      <c r="A54" s="9" t="s">
        <v>211</v>
      </c>
      <c r="B54" s="3">
        <v>1.89</v>
      </c>
      <c r="C54" s="3">
        <v>1.96</v>
      </c>
      <c r="D54" s="3">
        <v>1.885</v>
      </c>
      <c r="E54" s="3">
        <v>1.92</v>
      </c>
      <c r="F54" s="3">
        <v>17964285</v>
      </c>
      <c r="G54" s="3">
        <v>2154.11</v>
      </c>
      <c r="H54" s="3">
        <v>1121933336</v>
      </c>
    </row>
    <row r="55" spans="1:8" ht="15" customHeight="1" x14ac:dyDescent="0.2">
      <c r="A55" s="9" t="s">
        <v>210</v>
      </c>
      <c r="B55" s="3">
        <v>1.91</v>
      </c>
      <c r="C55" s="3">
        <v>1.92</v>
      </c>
      <c r="D55" s="3">
        <v>1.84</v>
      </c>
      <c r="E55" s="3">
        <v>1.865</v>
      </c>
      <c r="F55" s="3">
        <v>2919565</v>
      </c>
      <c r="G55" s="3">
        <v>2092.41</v>
      </c>
      <c r="H55" s="3">
        <v>1121933336</v>
      </c>
    </row>
    <row r="56" spans="1:8" ht="15" customHeight="1" x14ac:dyDescent="0.2">
      <c r="A56" s="9" t="s">
        <v>209</v>
      </c>
      <c r="B56" s="3">
        <v>1.895</v>
      </c>
      <c r="C56" s="3">
        <v>1.895</v>
      </c>
      <c r="D56" s="3">
        <v>1.843</v>
      </c>
      <c r="E56" s="3">
        <v>1.885</v>
      </c>
      <c r="F56" s="3">
        <v>2593069</v>
      </c>
      <c r="G56" s="3">
        <v>2114.84</v>
      </c>
      <c r="H56" s="3">
        <v>1121933336</v>
      </c>
    </row>
    <row r="57" spans="1:8" ht="15" customHeight="1" x14ac:dyDescent="0.2">
      <c r="A57" s="9" t="s">
        <v>208</v>
      </c>
      <c r="B57" s="3">
        <v>1.885</v>
      </c>
      <c r="C57" s="3">
        <v>1.885</v>
      </c>
      <c r="D57" s="3">
        <v>1.845</v>
      </c>
      <c r="E57" s="3">
        <v>1.88</v>
      </c>
      <c r="F57" s="3">
        <v>2415019</v>
      </c>
      <c r="G57" s="3">
        <v>2109.23</v>
      </c>
      <c r="H57" s="3">
        <v>1121933336</v>
      </c>
    </row>
    <row r="58" spans="1:8" ht="15" customHeight="1" x14ac:dyDescent="0.2">
      <c r="A58" s="9" t="s">
        <v>207</v>
      </c>
      <c r="B58" s="3">
        <v>1.94</v>
      </c>
      <c r="C58" s="3">
        <v>1.98</v>
      </c>
      <c r="D58" s="3">
        <v>1.9</v>
      </c>
      <c r="E58" s="3">
        <v>1.92</v>
      </c>
      <c r="F58" s="3">
        <v>6933544</v>
      </c>
      <c r="G58" s="3">
        <v>2154.11</v>
      </c>
      <c r="H58" s="3">
        <v>1121933336</v>
      </c>
    </row>
    <row r="59" spans="1:8" ht="15" customHeight="1" x14ac:dyDescent="0.2">
      <c r="A59" s="9" t="s">
        <v>206</v>
      </c>
      <c r="B59" s="3">
        <v>1.82</v>
      </c>
      <c r="C59" s="3">
        <v>1.835</v>
      </c>
      <c r="D59" s="3">
        <v>1.75</v>
      </c>
      <c r="E59" s="3">
        <v>1.8</v>
      </c>
      <c r="F59" s="3">
        <v>10360999</v>
      </c>
      <c r="G59" s="3">
        <v>2019.48</v>
      </c>
      <c r="H59" s="3">
        <v>1121933336</v>
      </c>
    </row>
    <row r="60" spans="1:8" ht="15" customHeight="1" x14ac:dyDescent="0.2">
      <c r="A60" s="9" t="s">
        <v>205</v>
      </c>
      <c r="B60" s="3">
        <v>1.81</v>
      </c>
      <c r="C60" s="3">
        <v>1.83</v>
      </c>
      <c r="D60" s="3">
        <v>1.74</v>
      </c>
      <c r="E60" s="3">
        <v>1.8</v>
      </c>
      <c r="F60" s="3">
        <v>7314064</v>
      </c>
      <c r="G60" s="3">
        <v>2019.48</v>
      </c>
      <c r="H60" s="3">
        <v>1121933336</v>
      </c>
    </row>
    <row r="61" spans="1:8" ht="15" customHeight="1" x14ac:dyDescent="0.2">
      <c r="A61" s="9" t="s">
        <v>204</v>
      </c>
      <c r="B61" s="3">
        <v>1.845</v>
      </c>
      <c r="C61" s="3">
        <v>1.853</v>
      </c>
      <c r="D61" s="3">
        <v>1.76</v>
      </c>
      <c r="E61" s="3">
        <v>1.76</v>
      </c>
      <c r="F61" s="3">
        <v>4447377</v>
      </c>
      <c r="G61" s="3">
        <v>1974.6</v>
      </c>
      <c r="H61" s="3">
        <v>1121933336</v>
      </c>
    </row>
    <row r="62" spans="1:8" ht="15" customHeight="1" x14ac:dyDescent="0.2">
      <c r="A62" s="9" t="s">
        <v>203</v>
      </c>
      <c r="B62" s="3">
        <v>1.77</v>
      </c>
      <c r="C62" s="3">
        <v>1.8049999999999999</v>
      </c>
      <c r="D62" s="3">
        <v>1.72</v>
      </c>
      <c r="E62" s="3">
        <v>1.8049999999999999</v>
      </c>
      <c r="F62" s="3">
        <v>5035994</v>
      </c>
      <c r="G62" s="3">
        <v>2025.09</v>
      </c>
      <c r="H62" s="3">
        <v>1121933336</v>
      </c>
    </row>
    <row r="63" spans="1:8" ht="15" customHeight="1" x14ac:dyDescent="0.2">
      <c r="A63" s="9" t="s">
        <v>202</v>
      </c>
      <c r="B63" s="3">
        <v>1.83</v>
      </c>
      <c r="C63" s="3">
        <v>1.89</v>
      </c>
      <c r="D63" s="3">
        <v>1.83</v>
      </c>
      <c r="E63" s="3">
        <v>1.855</v>
      </c>
      <c r="F63" s="3">
        <v>4712856</v>
      </c>
      <c r="G63" s="3">
        <v>2081.19</v>
      </c>
      <c r="H63" s="3">
        <v>1121933336</v>
      </c>
    </row>
    <row r="64" spans="1:8" ht="15" customHeight="1" x14ac:dyDescent="0.2">
      <c r="A64" s="9" t="s">
        <v>201</v>
      </c>
      <c r="B64" s="3">
        <v>1.9</v>
      </c>
      <c r="C64" s="3">
        <v>1.95</v>
      </c>
      <c r="D64" s="3">
        <v>1.9</v>
      </c>
      <c r="E64" s="3">
        <v>1.9350000000000001</v>
      </c>
      <c r="F64" s="3">
        <v>4505602</v>
      </c>
      <c r="G64" s="3">
        <v>2170.94</v>
      </c>
      <c r="H64" s="3">
        <v>1121933336</v>
      </c>
    </row>
    <row r="65" spans="1:8" ht="15" customHeight="1" x14ac:dyDescent="0.2">
      <c r="A65" s="9" t="s">
        <v>200</v>
      </c>
      <c r="B65" s="3">
        <v>1.95</v>
      </c>
      <c r="C65" s="3">
        <v>1.96</v>
      </c>
      <c r="D65" s="3">
        <v>1.9</v>
      </c>
      <c r="E65" s="3">
        <v>1.905</v>
      </c>
      <c r="F65" s="3">
        <v>5249802</v>
      </c>
      <c r="G65" s="3">
        <v>2137.2800000000002</v>
      </c>
      <c r="H65" s="3">
        <v>1121933336</v>
      </c>
    </row>
    <row r="66" spans="1:8" ht="15" customHeight="1" x14ac:dyDescent="0.2">
      <c r="A66" s="9" t="s">
        <v>199</v>
      </c>
      <c r="B66" s="3">
        <v>1.9350000000000001</v>
      </c>
      <c r="C66" s="3">
        <v>1.9450000000000001</v>
      </c>
      <c r="D66" s="3">
        <v>1.89</v>
      </c>
      <c r="E66" s="3">
        <v>1.91</v>
      </c>
      <c r="F66" s="3">
        <v>4492842</v>
      </c>
      <c r="G66" s="3">
        <v>2142.89</v>
      </c>
      <c r="H66" s="3">
        <v>1121933336</v>
      </c>
    </row>
    <row r="67" spans="1:8" ht="15" customHeight="1" x14ac:dyDescent="0.2">
      <c r="A67" s="9" t="s">
        <v>198</v>
      </c>
      <c r="B67" s="3">
        <v>1.89</v>
      </c>
      <c r="C67" s="3">
        <v>1.89</v>
      </c>
      <c r="D67" s="3">
        <v>1.845</v>
      </c>
      <c r="E67" s="3">
        <v>1.855</v>
      </c>
      <c r="F67" s="3">
        <v>2056404</v>
      </c>
      <c r="G67" s="3">
        <v>2081.19</v>
      </c>
      <c r="H67" s="3">
        <v>1121933336</v>
      </c>
    </row>
    <row r="68" spans="1:8" ht="15" customHeight="1" x14ac:dyDescent="0.2">
      <c r="A68" s="9" t="s">
        <v>197</v>
      </c>
      <c r="B68" s="3">
        <v>1.9</v>
      </c>
      <c r="C68" s="3">
        <v>1.958</v>
      </c>
      <c r="D68" s="3">
        <v>1.865</v>
      </c>
      <c r="E68" s="3">
        <v>1.9450000000000001</v>
      </c>
      <c r="F68" s="3">
        <v>5630953</v>
      </c>
      <c r="G68" s="3">
        <v>2182.16</v>
      </c>
      <c r="H68" s="3">
        <v>1121933336</v>
      </c>
    </row>
    <row r="69" spans="1:8" ht="15" customHeight="1" x14ac:dyDescent="0.2">
      <c r="A69" s="9" t="s">
        <v>196</v>
      </c>
      <c r="B69" s="3">
        <v>1.97</v>
      </c>
      <c r="C69" s="3">
        <v>1.97</v>
      </c>
      <c r="D69" s="3">
        <v>1.93</v>
      </c>
      <c r="E69" s="3">
        <v>1.95</v>
      </c>
      <c r="F69" s="3">
        <v>3540812</v>
      </c>
      <c r="G69" s="3">
        <v>2187.77</v>
      </c>
      <c r="H69" s="3">
        <v>1121933336</v>
      </c>
    </row>
    <row r="70" spans="1:8" ht="15" customHeight="1" x14ac:dyDescent="0.2">
      <c r="A70" s="9" t="s">
        <v>195</v>
      </c>
      <c r="B70" s="3">
        <v>1.9350000000000001</v>
      </c>
      <c r="C70" s="3">
        <v>1.9450000000000001</v>
      </c>
      <c r="D70" s="3">
        <v>1.915</v>
      </c>
      <c r="E70" s="3">
        <v>1.9450000000000001</v>
      </c>
      <c r="F70" s="3">
        <v>4628780</v>
      </c>
      <c r="G70" s="3">
        <v>2182.16</v>
      </c>
      <c r="H70" s="3">
        <v>1121933336</v>
      </c>
    </row>
    <row r="71" spans="1:8" ht="15" customHeight="1" x14ac:dyDescent="0.2">
      <c r="A71" s="9" t="s">
        <v>194</v>
      </c>
      <c r="B71" s="3">
        <v>1.89</v>
      </c>
      <c r="C71" s="3">
        <v>1.9450000000000001</v>
      </c>
      <c r="D71" s="3">
        <v>1.89</v>
      </c>
      <c r="E71" s="3">
        <v>1.915</v>
      </c>
      <c r="F71" s="3">
        <v>7741608</v>
      </c>
      <c r="G71" s="3">
        <v>2148.5</v>
      </c>
      <c r="H71" s="3">
        <v>1121933336</v>
      </c>
    </row>
    <row r="72" spans="1:8" ht="15" customHeight="1" x14ac:dyDescent="0.2">
      <c r="A72" s="9" t="s">
        <v>193</v>
      </c>
      <c r="B72" s="3">
        <v>1.9450000000000001</v>
      </c>
      <c r="C72" s="3">
        <v>2.0099999999999998</v>
      </c>
      <c r="D72" s="3">
        <v>1.9419999999999999</v>
      </c>
      <c r="E72" s="3">
        <v>1.9850000000000001</v>
      </c>
      <c r="F72" s="3">
        <v>8903904</v>
      </c>
      <c r="G72" s="3">
        <v>2227.04</v>
      </c>
      <c r="H72" s="3">
        <v>1121933336</v>
      </c>
    </row>
    <row r="73" spans="1:8" ht="15" customHeight="1" x14ac:dyDescent="0.2">
      <c r="A73" s="9" t="s">
        <v>192</v>
      </c>
      <c r="B73" s="3">
        <v>1.9350000000000001</v>
      </c>
      <c r="C73" s="3">
        <v>1.9550000000000001</v>
      </c>
      <c r="D73" s="3">
        <v>1.895</v>
      </c>
      <c r="E73" s="3">
        <v>1.895</v>
      </c>
      <c r="F73" s="3">
        <v>4038891</v>
      </c>
      <c r="G73" s="3">
        <v>2126.06</v>
      </c>
      <c r="H73" s="3">
        <v>1121933336</v>
      </c>
    </row>
    <row r="74" spans="1:8" ht="15" customHeight="1" x14ac:dyDescent="0.2">
      <c r="A74" s="9" t="s">
        <v>191</v>
      </c>
      <c r="B74" s="3">
        <v>1.87</v>
      </c>
      <c r="C74" s="3">
        <v>1.895</v>
      </c>
      <c r="D74" s="3">
        <v>1.837</v>
      </c>
      <c r="E74" s="3">
        <v>1.845</v>
      </c>
      <c r="F74" s="3">
        <v>4579608</v>
      </c>
      <c r="G74" s="3">
        <v>2069.9699999999998</v>
      </c>
      <c r="H74" s="3">
        <v>1121933336</v>
      </c>
    </row>
    <row r="75" spans="1:8" ht="15" customHeight="1" x14ac:dyDescent="0.2">
      <c r="A75" s="9" t="s">
        <v>190</v>
      </c>
      <c r="B75" s="3">
        <v>1.855</v>
      </c>
      <c r="C75" s="3">
        <v>1.895</v>
      </c>
      <c r="D75" s="3">
        <v>1.85</v>
      </c>
      <c r="E75" s="3">
        <v>1.88</v>
      </c>
      <c r="F75" s="3">
        <v>4152897</v>
      </c>
      <c r="G75" s="3">
        <v>2109.23</v>
      </c>
      <c r="H75" s="3">
        <v>1121933336</v>
      </c>
    </row>
    <row r="76" spans="1:8" ht="15" customHeight="1" x14ac:dyDescent="0.2">
      <c r="A76" s="9" t="s">
        <v>189</v>
      </c>
      <c r="B76" s="3">
        <v>1.87</v>
      </c>
      <c r="C76" s="3">
        <v>1.9</v>
      </c>
      <c r="D76" s="3">
        <v>1.8149999999999999</v>
      </c>
      <c r="E76" s="3">
        <v>1.825</v>
      </c>
      <c r="F76" s="3">
        <v>5565001</v>
      </c>
      <c r="G76" s="3">
        <v>2047.53</v>
      </c>
      <c r="H76" s="3">
        <v>1121933336</v>
      </c>
    </row>
    <row r="77" spans="1:8" ht="15" customHeight="1" x14ac:dyDescent="0.2">
      <c r="A77" s="9" t="s">
        <v>188</v>
      </c>
      <c r="B77" s="3">
        <v>1.81</v>
      </c>
      <c r="C77" s="3">
        <v>1.89</v>
      </c>
      <c r="D77" s="3">
        <v>1.7949999999999999</v>
      </c>
      <c r="E77" s="3">
        <v>1.875</v>
      </c>
      <c r="F77" s="3">
        <v>6280508</v>
      </c>
      <c r="G77" s="3">
        <v>2103.63</v>
      </c>
      <c r="H77" s="3">
        <v>1121933336</v>
      </c>
    </row>
    <row r="78" spans="1:8" ht="15" customHeight="1" x14ac:dyDescent="0.2">
      <c r="A78" s="9" t="s">
        <v>187</v>
      </c>
      <c r="B78" s="3">
        <v>1.895</v>
      </c>
      <c r="C78" s="3">
        <v>1.905</v>
      </c>
      <c r="D78" s="3">
        <v>1.825</v>
      </c>
      <c r="E78" s="3">
        <v>1.835</v>
      </c>
      <c r="F78" s="3">
        <v>4313971</v>
      </c>
      <c r="G78" s="3">
        <v>2058.75</v>
      </c>
      <c r="H78" s="3">
        <v>1121933336</v>
      </c>
    </row>
    <row r="79" spans="1:8" ht="15" customHeight="1" x14ac:dyDescent="0.2">
      <c r="A79" s="9" t="s">
        <v>186</v>
      </c>
      <c r="B79" s="3">
        <v>1.77</v>
      </c>
      <c r="C79" s="3">
        <v>1.7849999999999999</v>
      </c>
      <c r="D79" s="3">
        <v>1.72</v>
      </c>
      <c r="E79" s="3">
        <v>1.7450000000000001</v>
      </c>
      <c r="F79" s="3">
        <v>5172175</v>
      </c>
      <c r="G79" s="3">
        <v>1957.77</v>
      </c>
      <c r="H79" s="3">
        <v>1121933336</v>
      </c>
    </row>
    <row r="80" spans="1:8" ht="15" customHeight="1" x14ac:dyDescent="0.2">
      <c r="A80" s="9" t="s">
        <v>185</v>
      </c>
      <c r="B80" s="3">
        <v>1.77</v>
      </c>
      <c r="C80" s="3">
        <v>1.792</v>
      </c>
      <c r="D80" s="3">
        <v>1.7549999999999999</v>
      </c>
      <c r="E80" s="3">
        <v>1.7649999999999999</v>
      </c>
      <c r="F80" s="3">
        <v>2382639</v>
      </c>
      <c r="G80" s="3">
        <v>1980.21</v>
      </c>
      <c r="H80" s="3">
        <v>1121933336</v>
      </c>
    </row>
    <row r="81" spans="1:8" ht="15" customHeight="1" x14ac:dyDescent="0.2">
      <c r="A81" s="9" t="s">
        <v>184</v>
      </c>
      <c r="B81" s="3">
        <v>1.77</v>
      </c>
      <c r="C81" s="3">
        <v>1.8</v>
      </c>
      <c r="D81" s="3">
        <v>1.74</v>
      </c>
      <c r="E81" s="3">
        <v>1.7549999999999999</v>
      </c>
      <c r="F81" s="3">
        <v>2759603</v>
      </c>
      <c r="G81" s="3">
        <v>1968.99</v>
      </c>
      <c r="H81" s="3">
        <v>1121933336</v>
      </c>
    </row>
    <row r="82" spans="1:8" ht="15" customHeight="1" x14ac:dyDescent="0.2">
      <c r="A82" s="9" t="s">
        <v>183</v>
      </c>
      <c r="B82" s="3">
        <v>1.7649999999999999</v>
      </c>
      <c r="C82" s="3">
        <v>1.79</v>
      </c>
      <c r="D82" s="3">
        <v>1.7450000000000001</v>
      </c>
      <c r="E82" s="3">
        <v>1.77</v>
      </c>
      <c r="F82" s="3">
        <v>4001107</v>
      </c>
      <c r="G82" s="3">
        <v>1985.82</v>
      </c>
      <c r="H82" s="3">
        <v>1121933336</v>
      </c>
    </row>
    <row r="83" spans="1:8" ht="15" customHeight="1" x14ac:dyDescent="0.2">
      <c r="A83" s="9" t="s">
        <v>182</v>
      </c>
      <c r="B83" s="3">
        <v>1.81</v>
      </c>
      <c r="C83" s="3">
        <v>1.825</v>
      </c>
      <c r="D83" s="3">
        <v>1.76</v>
      </c>
      <c r="E83" s="3">
        <v>1.76</v>
      </c>
      <c r="F83" s="3">
        <v>3946963</v>
      </c>
      <c r="G83" s="3">
        <v>1974.6</v>
      </c>
      <c r="H83" s="3">
        <v>1121933336</v>
      </c>
    </row>
    <row r="84" spans="1:8" ht="15" customHeight="1" x14ac:dyDescent="0.2">
      <c r="A84" s="9" t="s">
        <v>181</v>
      </c>
      <c r="B84" s="3">
        <v>1.6950000000000001</v>
      </c>
      <c r="C84" s="3">
        <v>1.7050000000000001</v>
      </c>
      <c r="D84" s="3">
        <v>1.665</v>
      </c>
      <c r="E84" s="3">
        <v>1.68</v>
      </c>
      <c r="F84" s="3">
        <v>3486357</v>
      </c>
      <c r="G84" s="3">
        <v>1884.85</v>
      </c>
      <c r="H84" s="3">
        <v>1121933336</v>
      </c>
    </row>
    <row r="85" spans="1:8" ht="15" customHeight="1" x14ac:dyDescent="0.2">
      <c r="A85" s="9" t="s">
        <v>180</v>
      </c>
      <c r="B85" s="3">
        <v>1.7</v>
      </c>
      <c r="C85" s="3">
        <v>1.738</v>
      </c>
      <c r="D85" s="3">
        <v>1.7</v>
      </c>
      <c r="E85" s="3">
        <v>1.7</v>
      </c>
      <c r="F85" s="3">
        <v>2215962</v>
      </c>
      <c r="G85" s="3">
        <v>1907.29</v>
      </c>
      <c r="H85" s="3">
        <v>1121933336</v>
      </c>
    </row>
    <row r="86" spans="1:8" ht="15" customHeight="1" x14ac:dyDescent="0.2">
      <c r="A86" s="9" t="s">
        <v>179</v>
      </c>
      <c r="B86" s="3">
        <v>1.7050000000000001</v>
      </c>
      <c r="C86" s="3">
        <v>1.7150000000000001</v>
      </c>
      <c r="D86" s="3">
        <v>1.67</v>
      </c>
      <c r="E86" s="3">
        <v>1.7</v>
      </c>
      <c r="F86" s="3">
        <v>4069173</v>
      </c>
      <c r="G86" s="3">
        <v>1907.29</v>
      </c>
      <c r="H86" s="3">
        <v>1121933336</v>
      </c>
    </row>
    <row r="87" spans="1:8" ht="15" customHeight="1" x14ac:dyDescent="0.2">
      <c r="A87" s="9" t="s">
        <v>178</v>
      </c>
      <c r="B87" s="3">
        <v>1.7</v>
      </c>
      <c r="C87" s="3">
        <v>1.74</v>
      </c>
      <c r="D87" s="3">
        <v>1.7</v>
      </c>
      <c r="E87" s="3">
        <v>1.71</v>
      </c>
      <c r="F87" s="3">
        <v>2282699</v>
      </c>
      <c r="G87" s="3">
        <v>1918.51</v>
      </c>
      <c r="H87" s="3">
        <v>1121933336</v>
      </c>
    </row>
    <row r="88" spans="1:8" ht="15" customHeight="1" x14ac:dyDescent="0.2">
      <c r="A88" s="9" t="s">
        <v>177</v>
      </c>
      <c r="B88" s="3">
        <v>1.7450000000000001</v>
      </c>
      <c r="C88" s="3">
        <v>1.7949999999999999</v>
      </c>
      <c r="D88" s="3">
        <v>1.7350000000000001</v>
      </c>
      <c r="E88" s="3">
        <v>1.79</v>
      </c>
      <c r="F88" s="3">
        <v>2665038</v>
      </c>
      <c r="G88" s="3">
        <v>2008.26</v>
      </c>
      <c r="H88" s="3">
        <v>1121933336</v>
      </c>
    </row>
    <row r="89" spans="1:8" ht="15" customHeight="1" x14ac:dyDescent="0.2">
      <c r="A89" s="9" t="s">
        <v>176</v>
      </c>
      <c r="B89" s="3">
        <v>1.7949999999999999</v>
      </c>
      <c r="C89" s="3">
        <v>1.8049999999999999</v>
      </c>
      <c r="D89" s="3">
        <v>1.78</v>
      </c>
      <c r="E89" s="3">
        <v>1.7949999999999999</v>
      </c>
      <c r="F89" s="3">
        <v>2011304</v>
      </c>
      <c r="G89" s="3">
        <v>2013.87</v>
      </c>
      <c r="H89" s="3">
        <v>1121933336</v>
      </c>
    </row>
    <row r="90" spans="1:8" ht="15" customHeight="1" x14ac:dyDescent="0.2">
      <c r="A90" s="9" t="s">
        <v>175</v>
      </c>
      <c r="B90" s="3">
        <v>1.7849999999999999</v>
      </c>
      <c r="C90" s="3">
        <v>1.79</v>
      </c>
      <c r="D90" s="3">
        <v>1.7549999999999999</v>
      </c>
      <c r="E90" s="3">
        <v>1.77</v>
      </c>
      <c r="F90" s="3">
        <v>1992374</v>
      </c>
      <c r="G90" s="3">
        <v>1985.82</v>
      </c>
      <c r="H90" s="3">
        <v>1121933336</v>
      </c>
    </row>
    <row r="91" spans="1:8" ht="15" customHeight="1" x14ac:dyDescent="0.2">
      <c r="A91" s="9" t="s">
        <v>174</v>
      </c>
      <c r="B91" s="3">
        <v>1.82</v>
      </c>
      <c r="C91" s="3">
        <v>1.83</v>
      </c>
      <c r="D91" s="3">
        <v>1.7949999999999999</v>
      </c>
      <c r="E91" s="3">
        <v>1.8149999999999999</v>
      </c>
      <c r="F91" s="3">
        <v>8353759</v>
      </c>
      <c r="G91" s="3">
        <v>2036.31</v>
      </c>
      <c r="H91" s="3">
        <v>1121933336</v>
      </c>
    </row>
    <row r="92" spans="1:8" ht="15" customHeight="1" x14ac:dyDescent="0.2">
      <c r="A92" s="9" t="s">
        <v>173</v>
      </c>
      <c r="B92" s="3">
        <v>1.82</v>
      </c>
      <c r="C92" s="3">
        <v>1.83</v>
      </c>
      <c r="D92" s="3">
        <v>1.7949999999999999</v>
      </c>
      <c r="E92" s="3">
        <v>1.825</v>
      </c>
      <c r="F92" s="3">
        <v>1826156</v>
      </c>
      <c r="G92" s="3">
        <v>2047.53</v>
      </c>
      <c r="H92" s="3">
        <v>1121933336</v>
      </c>
    </row>
    <row r="93" spans="1:8" ht="15" customHeight="1" x14ac:dyDescent="0.2">
      <c r="A93" s="9" t="s">
        <v>172</v>
      </c>
      <c r="B93" s="3">
        <v>1.82</v>
      </c>
      <c r="C93" s="3">
        <v>1.855</v>
      </c>
      <c r="D93" s="3">
        <v>1.78</v>
      </c>
      <c r="E93" s="3">
        <v>1.845</v>
      </c>
      <c r="F93" s="3">
        <v>2863841</v>
      </c>
      <c r="G93" s="3">
        <v>2069.9699999999998</v>
      </c>
      <c r="H93" s="3">
        <v>1121933336</v>
      </c>
    </row>
    <row r="94" spans="1:8" ht="15" customHeight="1" x14ac:dyDescent="0.2">
      <c r="A94" s="9" t="s">
        <v>171</v>
      </c>
      <c r="B94" s="3">
        <v>1.87</v>
      </c>
      <c r="C94" s="3">
        <v>1.87</v>
      </c>
      <c r="D94" s="3">
        <v>1.8149999999999999</v>
      </c>
      <c r="E94" s="3">
        <v>1.8149999999999999</v>
      </c>
      <c r="F94" s="3">
        <v>1792463</v>
      </c>
      <c r="G94" s="3">
        <v>2036.31</v>
      </c>
      <c r="H94" s="3">
        <v>1121933336</v>
      </c>
    </row>
    <row r="95" spans="1:8" ht="15" customHeight="1" x14ac:dyDescent="0.2">
      <c r="A95" s="9" t="s">
        <v>170</v>
      </c>
      <c r="B95" s="3">
        <v>1.85</v>
      </c>
      <c r="C95" s="3">
        <v>1.89</v>
      </c>
      <c r="D95" s="3">
        <v>1.845</v>
      </c>
      <c r="E95" s="3">
        <v>1.875</v>
      </c>
      <c r="F95" s="3">
        <v>2368807</v>
      </c>
      <c r="G95" s="3">
        <v>2103.63</v>
      </c>
      <c r="H95" s="3">
        <v>1121933336</v>
      </c>
    </row>
    <row r="96" spans="1:8" ht="15" customHeight="1" x14ac:dyDescent="0.2">
      <c r="A96" s="9" t="s">
        <v>169</v>
      </c>
      <c r="B96" s="3">
        <v>1.855</v>
      </c>
      <c r="C96" s="3">
        <v>1.875</v>
      </c>
      <c r="D96" s="3">
        <v>1.84</v>
      </c>
      <c r="E96" s="3">
        <v>1.87</v>
      </c>
      <c r="F96" s="3">
        <v>1317083</v>
      </c>
      <c r="G96" s="3">
        <v>2098.02</v>
      </c>
      <c r="H96" s="3">
        <v>1121933336</v>
      </c>
    </row>
    <row r="97" spans="1:8" ht="15" customHeight="1" x14ac:dyDescent="0.2">
      <c r="A97" s="9" t="s">
        <v>168</v>
      </c>
      <c r="B97" s="3">
        <v>1.9</v>
      </c>
      <c r="C97" s="3">
        <v>1.94</v>
      </c>
      <c r="D97" s="3">
        <v>1.9</v>
      </c>
      <c r="E97" s="3">
        <v>1.915</v>
      </c>
      <c r="F97" s="3">
        <v>3156044</v>
      </c>
      <c r="G97" s="3">
        <v>2148.5</v>
      </c>
      <c r="H97" s="3">
        <v>1121933336</v>
      </c>
    </row>
    <row r="98" spans="1:8" ht="15" customHeight="1" x14ac:dyDescent="0.2">
      <c r="A98" s="9" t="s">
        <v>167</v>
      </c>
      <c r="B98" s="3">
        <v>1.915</v>
      </c>
      <c r="C98" s="3">
        <v>1.94</v>
      </c>
      <c r="D98" s="3">
        <v>1.915</v>
      </c>
      <c r="E98" s="3">
        <v>1.92</v>
      </c>
      <c r="F98" s="3">
        <v>6748817</v>
      </c>
      <c r="G98" s="3">
        <v>2154.11</v>
      </c>
      <c r="H98" s="3">
        <v>1121933336</v>
      </c>
    </row>
    <row r="99" spans="1:8" ht="15" customHeight="1" x14ac:dyDescent="0.2">
      <c r="A99" s="9" t="s">
        <v>166</v>
      </c>
      <c r="B99" s="3">
        <v>1.92</v>
      </c>
      <c r="C99" s="3">
        <v>1.925</v>
      </c>
      <c r="D99" s="3">
        <v>1.883</v>
      </c>
      <c r="E99" s="3">
        <v>1.89</v>
      </c>
      <c r="F99" s="3">
        <v>3186945</v>
      </c>
      <c r="G99" s="3">
        <v>2120.4499999999998</v>
      </c>
      <c r="H99" s="3">
        <v>1121933336</v>
      </c>
    </row>
    <row r="100" spans="1:8" ht="15" customHeight="1" x14ac:dyDescent="0.2">
      <c r="A100" s="9" t="s">
        <v>165</v>
      </c>
      <c r="B100" s="3">
        <v>1.845</v>
      </c>
      <c r="C100" s="3">
        <v>1.845</v>
      </c>
      <c r="D100" s="3">
        <v>1.79</v>
      </c>
      <c r="E100" s="3">
        <v>1.79</v>
      </c>
      <c r="F100" s="3">
        <v>3258518</v>
      </c>
      <c r="G100" s="3">
        <v>2008.26</v>
      </c>
      <c r="H100" s="3">
        <v>1121933336</v>
      </c>
    </row>
    <row r="101" spans="1:8" ht="15" customHeight="1" x14ac:dyDescent="0.2">
      <c r="A101" s="9" t="s">
        <v>164</v>
      </c>
      <c r="B101" s="3">
        <v>1.77</v>
      </c>
      <c r="C101" s="3">
        <v>1.79</v>
      </c>
      <c r="D101" s="3">
        <v>1.7549999999999999</v>
      </c>
      <c r="E101" s="3">
        <v>1.78</v>
      </c>
      <c r="F101" s="3">
        <v>2876146</v>
      </c>
      <c r="G101" s="3">
        <v>1997.04</v>
      </c>
      <c r="H101" s="3">
        <v>1121933336</v>
      </c>
    </row>
    <row r="102" spans="1:8" ht="15" customHeight="1" x14ac:dyDescent="0.2">
      <c r="A102" s="9" t="s">
        <v>163</v>
      </c>
      <c r="B102" s="3">
        <v>1.8</v>
      </c>
      <c r="C102" s="3">
        <v>1.855</v>
      </c>
      <c r="D102" s="3">
        <v>1.7949999999999999</v>
      </c>
      <c r="E102" s="3">
        <v>1.855</v>
      </c>
      <c r="F102" s="3">
        <v>2156957</v>
      </c>
      <c r="G102" s="3">
        <v>2081.19</v>
      </c>
      <c r="H102" s="3">
        <v>1121933336</v>
      </c>
    </row>
    <row r="103" spans="1:8" ht="15" customHeight="1" x14ac:dyDescent="0.2">
      <c r="A103" s="9" t="s">
        <v>162</v>
      </c>
      <c r="B103" s="3">
        <v>1.88</v>
      </c>
      <c r="C103" s="3">
        <v>1.88</v>
      </c>
      <c r="D103" s="3">
        <v>1.835</v>
      </c>
      <c r="E103" s="3">
        <v>1.85</v>
      </c>
      <c r="F103" s="3">
        <v>2308291</v>
      </c>
      <c r="G103" s="3">
        <v>2075.58</v>
      </c>
      <c r="H103" s="3">
        <v>1121933336</v>
      </c>
    </row>
    <row r="104" spans="1:8" ht="15" customHeight="1" x14ac:dyDescent="0.2">
      <c r="A104" s="9" t="s">
        <v>161</v>
      </c>
      <c r="B104" s="3">
        <v>1.84</v>
      </c>
      <c r="C104" s="3">
        <v>1.9450000000000001</v>
      </c>
      <c r="D104" s="3">
        <v>1.84</v>
      </c>
      <c r="E104" s="3">
        <v>1.91</v>
      </c>
      <c r="F104" s="3">
        <v>5757148</v>
      </c>
      <c r="G104" s="3">
        <v>2142.89</v>
      </c>
      <c r="H104" s="3">
        <v>1121933336</v>
      </c>
    </row>
    <row r="105" spans="1:8" ht="15" customHeight="1" x14ac:dyDescent="0.2">
      <c r="A105" s="9" t="s">
        <v>160</v>
      </c>
      <c r="B105" s="3">
        <v>1.9</v>
      </c>
      <c r="C105" s="3">
        <v>1.915</v>
      </c>
      <c r="D105" s="3">
        <v>1.75</v>
      </c>
      <c r="E105" s="3">
        <v>1.8</v>
      </c>
      <c r="F105" s="3">
        <v>9753173</v>
      </c>
      <c r="G105" s="3">
        <v>2019.48</v>
      </c>
      <c r="H105" s="3">
        <v>1121933336</v>
      </c>
    </row>
    <row r="106" spans="1:8" ht="15" customHeight="1" x14ac:dyDescent="0.2">
      <c r="A106" s="9" t="s">
        <v>159</v>
      </c>
      <c r="B106" s="3">
        <v>1.82</v>
      </c>
      <c r="C106" s="3">
        <v>1.875</v>
      </c>
      <c r="D106" s="3">
        <v>1.8</v>
      </c>
      <c r="E106" s="3">
        <v>1.875</v>
      </c>
      <c r="F106" s="3">
        <v>7324115</v>
      </c>
      <c r="G106" s="3">
        <v>2103.63</v>
      </c>
      <c r="H106" s="3">
        <v>1121933336</v>
      </c>
    </row>
    <row r="107" spans="1:8" ht="15" customHeight="1" x14ac:dyDescent="0.2">
      <c r="A107" s="9" t="s">
        <v>158</v>
      </c>
      <c r="B107" s="3">
        <v>1.85</v>
      </c>
      <c r="C107" s="3">
        <v>1.88</v>
      </c>
      <c r="D107" s="3">
        <v>1.8149999999999999</v>
      </c>
      <c r="E107" s="3">
        <v>1.8149999999999999</v>
      </c>
      <c r="F107" s="3">
        <v>3799600</v>
      </c>
      <c r="G107" s="3">
        <v>2036.31</v>
      </c>
      <c r="H107" s="3">
        <v>1121933336</v>
      </c>
    </row>
    <row r="108" spans="1:8" ht="15" customHeight="1" x14ac:dyDescent="0.2">
      <c r="A108" s="9" t="s">
        <v>157</v>
      </c>
      <c r="B108" s="3">
        <v>1.84</v>
      </c>
      <c r="C108" s="3">
        <v>1.867</v>
      </c>
      <c r="D108" s="3">
        <v>1.8169999999999999</v>
      </c>
      <c r="E108" s="3">
        <v>1.82</v>
      </c>
      <c r="F108" s="3">
        <v>2382779</v>
      </c>
      <c r="G108" s="3">
        <v>2041.92</v>
      </c>
      <c r="H108" s="3">
        <v>1121933336</v>
      </c>
    </row>
    <row r="109" spans="1:8" ht="15" customHeight="1" x14ac:dyDescent="0.2">
      <c r="A109" s="9" t="s">
        <v>156</v>
      </c>
      <c r="B109" s="3">
        <v>1.825</v>
      </c>
      <c r="C109" s="3">
        <v>1.835</v>
      </c>
      <c r="D109" s="3">
        <v>1.7749999999999999</v>
      </c>
      <c r="E109" s="3">
        <v>1.83</v>
      </c>
      <c r="F109" s="3">
        <v>3841896</v>
      </c>
      <c r="G109" s="3">
        <v>2053.14</v>
      </c>
      <c r="H109" s="3">
        <v>1121933336</v>
      </c>
    </row>
    <row r="110" spans="1:8" ht="15" customHeight="1" x14ac:dyDescent="0.2">
      <c r="A110" s="9" t="s">
        <v>155</v>
      </c>
      <c r="B110" s="3">
        <v>1.885</v>
      </c>
      <c r="C110" s="3">
        <v>1.96</v>
      </c>
      <c r="D110" s="3">
        <v>1.86</v>
      </c>
      <c r="E110" s="3">
        <v>1.92</v>
      </c>
      <c r="F110" s="3">
        <v>6904716</v>
      </c>
      <c r="G110" s="3">
        <v>2154.11</v>
      </c>
      <c r="H110" s="3">
        <v>1121933336</v>
      </c>
    </row>
    <row r="111" spans="1:8" ht="15" customHeight="1" x14ac:dyDescent="0.2">
      <c r="A111" s="9" t="s">
        <v>154</v>
      </c>
      <c r="B111" s="3">
        <v>1.9650000000000001</v>
      </c>
      <c r="C111" s="3">
        <v>2</v>
      </c>
      <c r="D111" s="3">
        <v>1.96</v>
      </c>
      <c r="E111" s="3">
        <v>1.99</v>
      </c>
      <c r="F111" s="3">
        <v>6235545</v>
      </c>
      <c r="G111" s="3">
        <v>2232.65</v>
      </c>
      <c r="H111" s="3">
        <v>1121933336</v>
      </c>
    </row>
    <row r="112" spans="1:8" ht="15" customHeight="1" x14ac:dyDescent="0.2">
      <c r="A112" s="9" t="s">
        <v>153</v>
      </c>
      <c r="B112" s="3">
        <v>1.87</v>
      </c>
      <c r="C112" s="3">
        <v>1.88</v>
      </c>
      <c r="D112" s="3">
        <v>1.802</v>
      </c>
      <c r="E112" s="3">
        <v>1.8149999999999999</v>
      </c>
      <c r="F112" s="3">
        <v>8483857</v>
      </c>
      <c r="G112" s="3">
        <v>2036.31</v>
      </c>
      <c r="H112" s="3">
        <v>1121933336</v>
      </c>
    </row>
    <row r="113" spans="1:8" ht="15" customHeight="1" x14ac:dyDescent="0.2">
      <c r="A113" s="9" t="s">
        <v>152</v>
      </c>
      <c r="B113" s="3">
        <v>1.85</v>
      </c>
      <c r="C113" s="3">
        <v>1.85</v>
      </c>
      <c r="D113" s="3">
        <v>1.78</v>
      </c>
      <c r="E113" s="3">
        <v>1.7949999999999999</v>
      </c>
      <c r="F113" s="3">
        <v>4729411</v>
      </c>
      <c r="G113" s="3">
        <v>2013.87</v>
      </c>
      <c r="H113" s="3">
        <v>1121933336</v>
      </c>
    </row>
    <row r="114" spans="1:8" ht="15" customHeight="1" x14ac:dyDescent="0.2">
      <c r="A114" s="9" t="s">
        <v>151</v>
      </c>
      <c r="B114" s="3">
        <v>1.825</v>
      </c>
      <c r="C114" s="3">
        <v>1.835</v>
      </c>
      <c r="D114" s="3">
        <v>1.77</v>
      </c>
      <c r="E114" s="3">
        <v>1.78</v>
      </c>
      <c r="F114" s="3">
        <v>2750460</v>
      </c>
      <c r="G114" s="3">
        <v>1997.04</v>
      </c>
      <c r="H114" s="3">
        <v>1121933336</v>
      </c>
    </row>
    <row r="115" spans="1:8" ht="15" customHeight="1" x14ac:dyDescent="0.2">
      <c r="A115" s="9" t="s">
        <v>150</v>
      </c>
      <c r="B115" s="3">
        <v>1.7649999999999999</v>
      </c>
      <c r="C115" s="3">
        <v>1.77</v>
      </c>
      <c r="D115" s="3">
        <v>1.7150000000000001</v>
      </c>
      <c r="E115" s="3">
        <v>1.7250000000000001</v>
      </c>
      <c r="F115" s="3">
        <v>3565483</v>
      </c>
      <c r="G115" s="3">
        <v>1935.34</v>
      </c>
      <c r="H115" s="3">
        <v>1121933336</v>
      </c>
    </row>
    <row r="116" spans="1:8" ht="15" customHeight="1" x14ac:dyDescent="0.2">
      <c r="A116" s="9" t="s">
        <v>149</v>
      </c>
      <c r="B116" s="3">
        <v>1.74</v>
      </c>
      <c r="C116" s="3">
        <v>1.778</v>
      </c>
      <c r="D116" s="3">
        <v>1.73</v>
      </c>
      <c r="E116" s="3">
        <v>1.7649999999999999</v>
      </c>
      <c r="F116" s="3">
        <v>3862582</v>
      </c>
      <c r="G116" s="3">
        <v>1980.21</v>
      </c>
      <c r="H116" s="3">
        <v>1121933336</v>
      </c>
    </row>
    <row r="117" spans="1:8" ht="15" customHeight="1" x14ac:dyDescent="0.2">
      <c r="A117" s="9" t="s">
        <v>148</v>
      </c>
      <c r="B117" s="3">
        <v>1.78</v>
      </c>
      <c r="C117" s="3">
        <v>1.8</v>
      </c>
      <c r="D117" s="3">
        <v>1.75</v>
      </c>
      <c r="E117" s="3">
        <v>1.7649999999999999</v>
      </c>
      <c r="F117" s="3">
        <v>2538987</v>
      </c>
      <c r="G117" s="3">
        <v>1980.21</v>
      </c>
      <c r="H117" s="3">
        <v>1121933336</v>
      </c>
    </row>
    <row r="118" spans="1:8" ht="15" customHeight="1" x14ac:dyDescent="0.2">
      <c r="A118" s="9" t="s">
        <v>147</v>
      </c>
      <c r="B118" s="3">
        <v>1.8049999999999999</v>
      </c>
      <c r="C118" s="3">
        <v>1.825</v>
      </c>
      <c r="D118" s="3">
        <v>1.78</v>
      </c>
      <c r="E118" s="3">
        <v>1.81</v>
      </c>
      <c r="F118" s="3">
        <v>3256227</v>
      </c>
      <c r="G118" s="3">
        <v>2030.7</v>
      </c>
      <c r="H118" s="3">
        <v>1121933336</v>
      </c>
    </row>
    <row r="119" spans="1:8" ht="15" customHeight="1" x14ac:dyDescent="0.2">
      <c r="A119" s="9" t="s">
        <v>146</v>
      </c>
      <c r="B119" s="3">
        <v>1.81</v>
      </c>
      <c r="C119" s="3">
        <v>1.82</v>
      </c>
      <c r="D119" s="3">
        <v>1.7949999999999999</v>
      </c>
      <c r="E119" s="3">
        <v>1.81</v>
      </c>
      <c r="F119" s="3">
        <v>3285427</v>
      </c>
      <c r="G119" s="3">
        <v>2030.7</v>
      </c>
      <c r="H119" s="3">
        <v>1121933336</v>
      </c>
    </row>
    <row r="120" spans="1:8" ht="15" customHeight="1" x14ac:dyDescent="0.2">
      <c r="A120" s="9" t="s">
        <v>145</v>
      </c>
      <c r="B120" s="3">
        <v>1.875</v>
      </c>
      <c r="C120" s="3">
        <v>1.89</v>
      </c>
      <c r="D120" s="3">
        <v>1.843</v>
      </c>
      <c r="E120" s="3">
        <v>1.89</v>
      </c>
      <c r="F120" s="3">
        <v>13042771</v>
      </c>
      <c r="G120" s="3">
        <v>2120.4499999999998</v>
      </c>
      <c r="H120" s="3">
        <v>1121933336</v>
      </c>
    </row>
    <row r="121" spans="1:8" ht="15" customHeight="1" x14ac:dyDescent="0.2">
      <c r="A121" s="9" t="s">
        <v>144</v>
      </c>
      <c r="B121" s="3">
        <v>1.845</v>
      </c>
      <c r="C121" s="3">
        <v>1.855</v>
      </c>
      <c r="D121" s="3">
        <v>1.82</v>
      </c>
      <c r="E121" s="3">
        <v>1.83</v>
      </c>
      <c r="F121" s="3">
        <v>2328320</v>
      </c>
      <c r="G121" s="3">
        <v>2053.14</v>
      </c>
      <c r="H121" s="3">
        <v>1121933336</v>
      </c>
    </row>
    <row r="122" spans="1:8" ht="15" customHeight="1" x14ac:dyDescent="0.2">
      <c r="A122" s="9" t="s">
        <v>143</v>
      </c>
      <c r="B122" s="3">
        <v>1.855</v>
      </c>
      <c r="C122" s="3">
        <v>1.855</v>
      </c>
      <c r="D122" s="3">
        <v>1.8049999999999999</v>
      </c>
      <c r="E122" s="3">
        <v>1.83</v>
      </c>
      <c r="F122" s="3">
        <v>3358722</v>
      </c>
      <c r="G122" s="3">
        <v>2053.14</v>
      </c>
      <c r="H122" s="3">
        <v>1121933336</v>
      </c>
    </row>
    <row r="123" spans="1:8" ht="15" customHeight="1" x14ac:dyDescent="0.2">
      <c r="A123" s="9" t="s">
        <v>142</v>
      </c>
      <c r="B123" s="3">
        <v>1.8049999999999999</v>
      </c>
      <c r="C123" s="3">
        <v>1.8120000000000001</v>
      </c>
      <c r="D123" s="3">
        <v>1.742</v>
      </c>
      <c r="E123" s="3">
        <v>1.75</v>
      </c>
      <c r="F123" s="3">
        <v>3100073</v>
      </c>
      <c r="G123" s="3">
        <v>1963.38</v>
      </c>
      <c r="H123" s="3">
        <v>1121933336</v>
      </c>
    </row>
    <row r="124" spans="1:8" ht="15" customHeight="1" x14ac:dyDescent="0.2">
      <c r="A124" s="9" t="s">
        <v>141</v>
      </c>
      <c r="B124" s="3">
        <v>1.7250000000000001</v>
      </c>
      <c r="C124" s="3">
        <v>1.73</v>
      </c>
      <c r="D124" s="3">
        <v>1.68</v>
      </c>
      <c r="E124" s="3">
        <v>1.73</v>
      </c>
      <c r="F124" s="3">
        <v>2773540</v>
      </c>
      <c r="G124" s="3">
        <v>1940.94</v>
      </c>
      <c r="H124" s="3">
        <v>1121933336</v>
      </c>
    </row>
    <row r="125" spans="1:8" ht="15" customHeight="1" x14ac:dyDescent="0.2">
      <c r="A125" s="9" t="s">
        <v>140</v>
      </c>
      <c r="B125" s="3">
        <v>1.74</v>
      </c>
      <c r="C125" s="3">
        <v>1.7749999999999999</v>
      </c>
      <c r="D125" s="3">
        <v>1.722</v>
      </c>
      <c r="E125" s="3">
        <v>1.7549999999999999</v>
      </c>
      <c r="F125" s="3">
        <v>3494963</v>
      </c>
      <c r="G125" s="3">
        <v>1968.99</v>
      </c>
      <c r="H125" s="3">
        <v>1121933336</v>
      </c>
    </row>
    <row r="126" spans="1:8" ht="15" customHeight="1" x14ac:dyDescent="0.2">
      <c r="A126" s="9" t="s">
        <v>139</v>
      </c>
      <c r="B126" s="3">
        <v>1.74</v>
      </c>
      <c r="C126" s="3">
        <v>1.7749999999999999</v>
      </c>
      <c r="D126" s="3">
        <v>1.72</v>
      </c>
      <c r="E126" s="3">
        <v>1.7649999999999999</v>
      </c>
      <c r="F126" s="3">
        <v>1655010</v>
      </c>
      <c r="G126" s="3">
        <v>1980.21</v>
      </c>
      <c r="H126" s="3">
        <v>1121933336</v>
      </c>
    </row>
    <row r="127" spans="1:8" ht="15" customHeight="1" x14ac:dyDescent="0.2">
      <c r="A127" s="9" t="s">
        <v>138</v>
      </c>
      <c r="B127" s="3">
        <v>1.7549999999999999</v>
      </c>
      <c r="C127" s="3">
        <v>1.7949999999999999</v>
      </c>
      <c r="D127" s="3">
        <v>1.75</v>
      </c>
      <c r="E127" s="3">
        <v>1.76</v>
      </c>
      <c r="F127" s="3">
        <v>1892724</v>
      </c>
      <c r="G127" s="3">
        <v>1974.6</v>
      </c>
      <c r="H127" s="3">
        <v>1121933336</v>
      </c>
    </row>
    <row r="128" spans="1:8" ht="15" customHeight="1" x14ac:dyDescent="0.2">
      <c r="A128" s="9" t="s">
        <v>137</v>
      </c>
      <c r="B128" s="3">
        <v>1.77</v>
      </c>
      <c r="C128" s="3">
        <v>1.8049999999999999</v>
      </c>
      <c r="D128" s="3">
        <v>1.7549999999999999</v>
      </c>
      <c r="E128" s="3">
        <v>1.7949999999999999</v>
      </c>
      <c r="F128" s="3">
        <v>1681875</v>
      </c>
      <c r="G128" s="3">
        <v>2013.87</v>
      </c>
      <c r="H128" s="3">
        <v>1121933336</v>
      </c>
    </row>
    <row r="129" spans="1:8" ht="15" customHeight="1" x14ac:dyDescent="0.2">
      <c r="A129" s="9" t="s">
        <v>136</v>
      </c>
      <c r="B129" s="3">
        <v>1.84</v>
      </c>
      <c r="C129" s="3">
        <v>1.875</v>
      </c>
      <c r="D129" s="3">
        <v>1.827</v>
      </c>
      <c r="E129" s="3">
        <v>1.865</v>
      </c>
      <c r="F129" s="3">
        <v>2501377</v>
      </c>
      <c r="G129" s="3">
        <v>2092.41</v>
      </c>
      <c r="H129" s="3">
        <v>1121933336</v>
      </c>
    </row>
    <row r="130" spans="1:8" ht="15" customHeight="1" x14ac:dyDescent="0.2">
      <c r="A130" s="9" t="s">
        <v>135</v>
      </c>
      <c r="B130" s="3">
        <v>1.865</v>
      </c>
      <c r="C130" s="3">
        <v>1.9</v>
      </c>
      <c r="D130" s="3">
        <v>1.845</v>
      </c>
      <c r="E130" s="3">
        <v>1.895</v>
      </c>
      <c r="F130" s="3">
        <v>2682541</v>
      </c>
      <c r="G130" s="3">
        <v>2126.06</v>
      </c>
      <c r="H130" s="3">
        <v>1121933336</v>
      </c>
    </row>
    <row r="131" spans="1:8" ht="15" customHeight="1" x14ac:dyDescent="0.2">
      <c r="A131" s="9" t="s">
        <v>134</v>
      </c>
      <c r="B131" s="3">
        <v>1.925</v>
      </c>
      <c r="C131" s="3">
        <v>1.93</v>
      </c>
      <c r="D131" s="3">
        <v>1.875</v>
      </c>
      <c r="E131" s="3">
        <v>1.88</v>
      </c>
      <c r="F131" s="3">
        <v>2879381</v>
      </c>
      <c r="G131" s="3">
        <v>2109.23</v>
      </c>
      <c r="H131" s="3">
        <v>1121933336</v>
      </c>
    </row>
    <row r="132" spans="1:8" ht="15" customHeight="1" x14ac:dyDescent="0.2">
      <c r="A132" s="9" t="s">
        <v>133</v>
      </c>
      <c r="B132" s="3">
        <v>1.87</v>
      </c>
      <c r="C132" s="3">
        <v>1.895</v>
      </c>
      <c r="D132" s="3">
        <v>1.855</v>
      </c>
      <c r="E132" s="3">
        <v>1.895</v>
      </c>
      <c r="F132" s="3">
        <v>2552478</v>
      </c>
      <c r="G132" s="3">
        <v>2126.06</v>
      </c>
      <c r="H132" s="3">
        <v>1121933336</v>
      </c>
    </row>
    <row r="133" spans="1:8" ht="15" customHeight="1" x14ac:dyDescent="0.2">
      <c r="A133" s="9" t="s">
        <v>132</v>
      </c>
      <c r="B133" s="3">
        <v>1.885</v>
      </c>
      <c r="C133" s="3">
        <v>1.903</v>
      </c>
      <c r="D133" s="3">
        <v>1.857</v>
      </c>
      <c r="E133" s="3">
        <v>1.88</v>
      </c>
      <c r="F133" s="3">
        <v>3093906</v>
      </c>
      <c r="G133" s="3">
        <v>2109.23</v>
      </c>
      <c r="H133" s="3">
        <v>1121933336</v>
      </c>
    </row>
    <row r="134" spans="1:8" ht="15" customHeight="1" x14ac:dyDescent="0.2">
      <c r="A134" s="9" t="s">
        <v>131</v>
      </c>
      <c r="B134" s="3">
        <v>1.91</v>
      </c>
      <c r="C134" s="3">
        <v>1.97</v>
      </c>
      <c r="D134" s="3">
        <v>1.89</v>
      </c>
      <c r="E134" s="3">
        <v>1.9550000000000001</v>
      </c>
      <c r="F134" s="3">
        <v>5789308</v>
      </c>
      <c r="G134" s="3">
        <v>2193.38</v>
      </c>
      <c r="H134" s="3">
        <v>1121933336</v>
      </c>
    </row>
    <row r="135" spans="1:8" ht="15" customHeight="1" x14ac:dyDescent="0.2">
      <c r="A135" s="9" t="s">
        <v>130</v>
      </c>
      <c r="B135" s="3">
        <v>1.99</v>
      </c>
      <c r="C135" s="3">
        <v>2.0699999999999998</v>
      </c>
      <c r="D135" s="3">
        <v>1.96</v>
      </c>
      <c r="E135" s="3">
        <v>2.0699999999999998</v>
      </c>
      <c r="F135" s="3">
        <v>9149174</v>
      </c>
      <c r="G135" s="3">
        <v>2322.4</v>
      </c>
      <c r="H135" s="3">
        <v>1121933336</v>
      </c>
    </row>
    <row r="136" spans="1:8" ht="15" customHeight="1" x14ac:dyDescent="0.2">
      <c r="A136" s="9" t="s">
        <v>129</v>
      </c>
      <c r="B136" s="3">
        <v>2.09</v>
      </c>
      <c r="C136" s="3">
        <v>2.13</v>
      </c>
      <c r="D136" s="3">
        <v>2.0449999999999999</v>
      </c>
      <c r="E136" s="3">
        <v>2.12</v>
      </c>
      <c r="F136" s="3">
        <v>4126554</v>
      </c>
      <c r="G136" s="3">
        <v>2378.5</v>
      </c>
      <c r="H136" s="3">
        <v>1121933336</v>
      </c>
    </row>
    <row r="137" spans="1:8" ht="15" customHeight="1" x14ac:dyDescent="0.2">
      <c r="A137" s="9" t="s">
        <v>128</v>
      </c>
      <c r="B137" s="3">
        <v>2.15</v>
      </c>
      <c r="C137" s="3">
        <v>2.1749999999999998</v>
      </c>
      <c r="D137" s="3">
        <v>2.13</v>
      </c>
      <c r="E137" s="3">
        <v>2.15</v>
      </c>
      <c r="F137" s="3">
        <v>7133509</v>
      </c>
      <c r="G137" s="3">
        <v>2412.29</v>
      </c>
      <c r="H137" s="3">
        <v>1121996411</v>
      </c>
    </row>
    <row r="138" spans="1:8" ht="15" customHeight="1" x14ac:dyDescent="0.2">
      <c r="A138" s="9" t="s">
        <v>127</v>
      </c>
      <c r="B138" s="3">
        <v>2.19</v>
      </c>
      <c r="C138" s="3">
        <v>2.2400000000000002</v>
      </c>
      <c r="D138" s="3">
        <v>2.15</v>
      </c>
      <c r="E138" s="3">
        <v>2.16</v>
      </c>
      <c r="F138" s="3">
        <v>5296907</v>
      </c>
      <c r="G138" s="3">
        <v>2423.5100000000002</v>
      </c>
      <c r="H138" s="3">
        <v>1121996411</v>
      </c>
    </row>
    <row r="139" spans="1:8" ht="15" customHeight="1" x14ac:dyDescent="0.2">
      <c r="A139" s="9" t="s">
        <v>126</v>
      </c>
      <c r="B139" s="3">
        <v>2.14</v>
      </c>
      <c r="C139" s="3">
        <v>2.17</v>
      </c>
      <c r="D139" s="3">
        <v>2.09</v>
      </c>
      <c r="E139" s="3">
        <v>2.15</v>
      </c>
      <c r="F139" s="3">
        <v>5001323</v>
      </c>
      <c r="G139" s="3">
        <v>2412.29</v>
      </c>
      <c r="H139" s="3">
        <v>1121996411</v>
      </c>
    </row>
    <row r="140" spans="1:8" ht="15" customHeight="1" x14ac:dyDescent="0.2">
      <c r="A140" s="9" t="s">
        <v>125</v>
      </c>
      <c r="B140" s="3">
        <v>2.09</v>
      </c>
      <c r="C140" s="3">
        <v>2.16</v>
      </c>
      <c r="D140" s="3">
        <v>2.0499999999999998</v>
      </c>
      <c r="E140" s="3">
        <v>2.15</v>
      </c>
      <c r="F140" s="3">
        <v>6049375</v>
      </c>
      <c r="G140" s="3">
        <v>2412.29</v>
      </c>
      <c r="H140" s="3">
        <v>1121996411</v>
      </c>
    </row>
    <row r="141" spans="1:8" ht="15" customHeight="1" x14ac:dyDescent="0.2">
      <c r="A141" s="9" t="s">
        <v>124</v>
      </c>
      <c r="B141" s="3">
        <v>2.15</v>
      </c>
      <c r="C141" s="3">
        <v>2.19</v>
      </c>
      <c r="D141" s="3">
        <v>2.15</v>
      </c>
      <c r="E141" s="3">
        <v>2.17</v>
      </c>
      <c r="F141" s="3">
        <v>3742862</v>
      </c>
      <c r="G141" s="3">
        <v>2434.73</v>
      </c>
      <c r="H141" s="3">
        <v>1121996411</v>
      </c>
    </row>
    <row r="142" spans="1:8" ht="15" customHeight="1" x14ac:dyDescent="0.2">
      <c r="A142" s="9" t="s">
        <v>123</v>
      </c>
      <c r="B142" s="3">
        <v>2.19</v>
      </c>
      <c r="C142" s="3">
        <v>2.2050000000000001</v>
      </c>
      <c r="D142" s="3">
        <v>2.12</v>
      </c>
      <c r="E142" s="3">
        <v>2.12</v>
      </c>
      <c r="F142" s="3">
        <v>6346587</v>
      </c>
      <c r="G142" s="3">
        <v>2378.63</v>
      </c>
      <c r="H142" s="3">
        <v>1121996411</v>
      </c>
    </row>
    <row r="143" spans="1:8" ht="15" customHeight="1" x14ac:dyDescent="0.2">
      <c r="A143" s="9" t="s">
        <v>122</v>
      </c>
      <c r="B143" s="3">
        <v>2.13</v>
      </c>
      <c r="C143" s="3">
        <v>2.1949999999999998</v>
      </c>
      <c r="D143" s="3">
        <v>2.1</v>
      </c>
      <c r="E143" s="3">
        <v>2.17</v>
      </c>
      <c r="F143" s="3">
        <v>5016393</v>
      </c>
      <c r="G143" s="3">
        <v>2434.73</v>
      </c>
      <c r="H143" s="3">
        <v>1121996411</v>
      </c>
    </row>
    <row r="144" spans="1:8" ht="15" customHeight="1" x14ac:dyDescent="0.2">
      <c r="A144" s="9" t="s">
        <v>121</v>
      </c>
      <c r="B144" s="3">
        <v>2.11</v>
      </c>
      <c r="C144" s="3">
        <v>2.17</v>
      </c>
      <c r="D144" s="3">
        <v>2.09</v>
      </c>
      <c r="E144" s="3">
        <v>2.12</v>
      </c>
      <c r="F144" s="3">
        <v>5046672</v>
      </c>
      <c r="G144" s="3">
        <v>2378.63</v>
      </c>
      <c r="H144" s="3">
        <v>1121996411</v>
      </c>
    </row>
    <row r="145" spans="1:8" ht="15" customHeight="1" x14ac:dyDescent="0.2">
      <c r="A145" s="9" t="s">
        <v>120</v>
      </c>
      <c r="B145" s="3">
        <v>2.12</v>
      </c>
      <c r="C145" s="3">
        <v>2.14</v>
      </c>
      <c r="D145" s="3">
        <v>2.0299999999999998</v>
      </c>
      <c r="E145" s="3">
        <v>2.0699999999999998</v>
      </c>
      <c r="F145" s="3">
        <v>4949173</v>
      </c>
      <c r="G145" s="3">
        <v>2322.5300000000002</v>
      </c>
      <c r="H145" s="3">
        <v>1121996411</v>
      </c>
    </row>
    <row r="146" spans="1:8" ht="15" customHeight="1" x14ac:dyDescent="0.2">
      <c r="A146" s="9" t="s">
        <v>119</v>
      </c>
      <c r="B146" s="3">
        <v>2.11</v>
      </c>
      <c r="C146" s="3">
        <v>2.11</v>
      </c>
      <c r="D146" s="3">
        <v>2.0499999999999998</v>
      </c>
      <c r="E146" s="3">
        <v>2.06</v>
      </c>
      <c r="F146" s="3">
        <v>2166266</v>
      </c>
      <c r="G146" s="3">
        <v>2311.31</v>
      </c>
      <c r="H146" s="3">
        <v>1121996411</v>
      </c>
    </row>
    <row r="147" spans="1:8" ht="15" customHeight="1" x14ac:dyDescent="0.2">
      <c r="A147" s="9" t="s">
        <v>118</v>
      </c>
      <c r="B147" s="3">
        <v>2.0299999999999998</v>
      </c>
      <c r="C147" s="3">
        <v>2.0499999999999998</v>
      </c>
      <c r="D147" s="3">
        <v>2</v>
      </c>
      <c r="E147" s="3">
        <v>2.02</v>
      </c>
      <c r="F147" s="3">
        <v>2073058</v>
      </c>
      <c r="G147" s="3">
        <v>2266.4299999999998</v>
      </c>
      <c r="H147" s="3">
        <v>1121996411</v>
      </c>
    </row>
    <row r="148" spans="1:8" ht="15" customHeight="1" x14ac:dyDescent="0.2">
      <c r="A148" s="9" t="s">
        <v>117</v>
      </c>
      <c r="B148" s="3">
        <v>2.06</v>
      </c>
      <c r="C148" s="3">
        <v>2.11</v>
      </c>
      <c r="D148" s="3">
        <v>2.0299999999999998</v>
      </c>
      <c r="E148" s="3">
        <v>2.09</v>
      </c>
      <c r="F148" s="3">
        <v>3143619</v>
      </c>
      <c r="G148" s="3">
        <v>2344.9699999999998</v>
      </c>
      <c r="H148" s="3">
        <v>1121996411</v>
      </c>
    </row>
    <row r="149" spans="1:8" ht="15" customHeight="1" x14ac:dyDescent="0.2">
      <c r="A149" s="9" t="s">
        <v>116</v>
      </c>
      <c r="B149" s="3">
        <v>2.12</v>
      </c>
      <c r="C149" s="3">
        <v>2.15</v>
      </c>
      <c r="D149" s="3">
        <v>2.08</v>
      </c>
      <c r="E149" s="3">
        <v>2.11</v>
      </c>
      <c r="F149" s="3">
        <v>2917871</v>
      </c>
      <c r="G149" s="3">
        <v>2367.41</v>
      </c>
      <c r="H149" s="3">
        <v>1121996411</v>
      </c>
    </row>
    <row r="150" spans="1:8" ht="15" customHeight="1" x14ac:dyDescent="0.2">
      <c r="A150" s="9" t="s">
        <v>115</v>
      </c>
      <c r="B150" s="3">
        <v>2.0499999999999998</v>
      </c>
      <c r="C150" s="3">
        <v>2.15</v>
      </c>
      <c r="D150" s="3">
        <v>2.0299999999999998</v>
      </c>
      <c r="E150" s="3">
        <v>2.12</v>
      </c>
      <c r="F150" s="3">
        <v>4791445</v>
      </c>
      <c r="G150" s="3">
        <v>2378.63</v>
      </c>
      <c r="H150" s="3">
        <v>1121996411</v>
      </c>
    </row>
    <row r="151" spans="1:8" ht="15" customHeight="1" x14ac:dyDescent="0.2">
      <c r="A151" s="9" t="s">
        <v>114</v>
      </c>
      <c r="B151" s="3">
        <v>2.0699999999999998</v>
      </c>
      <c r="C151" s="3">
        <v>2.11</v>
      </c>
      <c r="D151" s="3">
        <v>2.04</v>
      </c>
      <c r="E151" s="3">
        <v>2.08</v>
      </c>
      <c r="F151" s="3">
        <v>2720187</v>
      </c>
      <c r="G151" s="3">
        <v>2333.75</v>
      </c>
      <c r="H151" s="3">
        <v>1121996411</v>
      </c>
    </row>
    <row r="152" spans="1:8" ht="15" customHeight="1" x14ac:dyDescent="0.2">
      <c r="A152" s="9" t="s">
        <v>113</v>
      </c>
      <c r="B152" s="3">
        <v>2.0299999999999998</v>
      </c>
      <c r="C152" s="3">
        <v>2.0499999999999998</v>
      </c>
      <c r="D152" s="3">
        <v>2</v>
      </c>
      <c r="E152" s="3">
        <v>2.02</v>
      </c>
      <c r="F152" s="3">
        <v>2921387</v>
      </c>
      <c r="G152" s="3">
        <v>2266.4299999999998</v>
      </c>
      <c r="H152" s="3">
        <v>1121996411</v>
      </c>
    </row>
    <row r="153" spans="1:8" ht="15" customHeight="1" x14ac:dyDescent="0.2">
      <c r="A153" s="9" t="s">
        <v>112</v>
      </c>
      <c r="B153" s="3">
        <v>2.02</v>
      </c>
      <c r="C153" s="3">
        <v>2.04</v>
      </c>
      <c r="D153" s="3">
        <v>1.9750000000000001</v>
      </c>
      <c r="E153" s="3">
        <v>2.0299999999999998</v>
      </c>
      <c r="F153" s="3">
        <v>2981097</v>
      </c>
      <c r="G153" s="3">
        <v>2277.65</v>
      </c>
      <c r="H153" s="3">
        <v>1121996411</v>
      </c>
    </row>
    <row r="154" spans="1:8" ht="15" customHeight="1" x14ac:dyDescent="0.2">
      <c r="A154" s="9" t="s">
        <v>111</v>
      </c>
      <c r="B154" s="3">
        <v>2.0099999999999998</v>
      </c>
      <c r="C154" s="3">
        <v>2.0099999999999998</v>
      </c>
      <c r="D154" s="3">
        <v>1.9650000000000001</v>
      </c>
      <c r="E154" s="3">
        <v>1.9850000000000001</v>
      </c>
      <c r="F154" s="3">
        <v>1753890</v>
      </c>
      <c r="G154" s="3">
        <v>2227.16</v>
      </c>
      <c r="H154" s="3">
        <v>1121996411</v>
      </c>
    </row>
    <row r="155" spans="1:8" ht="15" customHeight="1" x14ac:dyDescent="0.2">
      <c r="A155" s="9" t="s">
        <v>110</v>
      </c>
      <c r="B155" s="3">
        <v>2.06</v>
      </c>
      <c r="C155" s="3">
        <v>2.085</v>
      </c>
      <c r="D155" s="3">
        <v>2.04</v>
      </c>
      <c r="E155" s="3">
        <v>2.06</v>
      </c>
      <c r="F155" s="3">
        <v>2330263</v>
      </c>
      <c r="G155" s="3">
        <v>2311.31</v>
      </c>
      <c r="H155" s="3">
        <v>1121996411</v>
      </c>
    </row>
    <row r="156" spans="1:8" ht="15" customHeight="1" x14ac:dyDescent="0.2">
      <c r="A156" s="9" t="s">
        <v>109</v>
      </c>
      <c r="B156" s="3">
        <v>2.08</v>
      </c>
      <c r="C156" s="3">
        <v>2.08</v>
      </c>
      <c r="D156" s="3">
        <v>2</v>
      </c>
      <c r="E156" s="3">
        <v>2.04</v>
      </c>
      <c r="F156" s="3">
        <v>2669198</v>
      </c>
      <c r="G156" s="3">
        <v>2288.87</v>
      </c>
      <c r="H156" s="3">
        <v>1121996411</v>
      </c>
    </row>
    <row r="157" spans="1:8" ht="15" customHeight="1" x14ac:dyDescent="0.2">
      <c r="A157" s="9" t="s">
        <v>108</v>
      </c>
      <c r="B157" s="3">
        <v>2.11</v>
      </c>
      <c r="C157" s="3">
        <v>2.21</v>
      </c>
      <c r="D157" s="3">
        <v>2.09</v>
      </c>
      <c r="E157" s="3">
        <v>2.21</v>
      </c>
      <c r="F157" s="3">
        <v>44954832</v>
      </c>
      <c r="G157" s="3">
        <v>2479.61</v>
      </c>
      <c r="H157" s="3">
        <v>1121996411</v>
      </c>
    </row>
    <row r="158" spans="1:8" ht="15" customHeight="1" x14ac:dyDescent="0.2">
      <c r="A158" s="9" t="s">
        <v>107</v>
      </c>
      <c r="B158" s="3">
        <v>2.23</v>
      </c>
      <c r="C158" s="3">
        <v>2.23</v>
      </c>
      <c r="D158" s="3">
        <v>2.1800000000000002</v>
      </c>
      <c r="E158" s="3">
        <v>2.2000000000000002</v>
      </c>
      <c r="F158" s="3">
        <v>2835493</v>
      </c>
      <c r="G158" s="3">
        <v>2468.39</v>
      </c>
      <c r="H158" s="3">
        <v>1121996411</v>
      </c>
    </row>
    <row r="159" spans="1:8" ht="15" customHeight="1" x14ac:dyDescent="0.2">
      <c r="A159" s="9" t="s">
        <v>106</v>
      </c>
      <c r="B159" s="3">
        <v>2.2000000000000002</v>
      </c>
      <c r="C159" s="3">
        <v>2.2200000000000002</v>
      </c>
      <c r="D159" s="3">
        <v>2.1800000000000002</v>
      </c>
      <c r="E159" s="3">
        <v>2.1800000000000002</v>
      </c>
      <c r="F159" s="3">
        <v>3201630</v>
      </c>
      <c r="G159" s="3">
        <v>2445.9499999999998</v>
      </c>
      <c r="H159" s="3">
        <v>1121996411</v>
      </c>
    </row>
    <row r="160" spans="1:8" ht="15" customHeight="1" x14ac:dyDescent="0.2">
      <c r="A160" s="9" t="s">
        <v>105</v>
      </c>
      <c r="B160" s="3">
        <v>2.23</v>
      </c>
      <c r="C160" s="3">
        <v>2.25</v>
      </c>
      <c r="D160" s="3">
        <v>2.16</v>
      </c>
      <c r="E160" s="3">
        <v>2.2000000000000002</v>
      </c>
      <c r="F160" s="3">
        <v>3417297</v>
      </c>
      <c r="G160" s="3">
        <v>2468.39</v>
      </c>
      <c r="H160" s="3">
        <v>1121996411</v>
      </c>
    </row>
    <row r="161" spans="1:8" ht="15" customHeight="1" x14ac:dyDescent="0.2">
      <c r="A161" s="9" t="s">
        <v>104</v>
      </c>
      <c r="B161" s="3">
        <v>2.2400000000000002</v>
      </c>
      <c r="C161" s="3">
        <v>2.27</v>
      </c>
      <c r="D161" s="3">
        <v>2.17</v>
      </c>
      <c r="E161" s="3">
        <v>2.17</v>
      </c>
      <c r="F161" s="3">
        <v>4505104</v>
      </c>
      <c r="G161" s="3">
        <v>2434.73</v>
      </c>
      <c r="H161" s="3">
        <v>1121996411</v>
      </c>
    </row>
    <row r="162" spans="1:8" ht="15" customHeight="1" x14ac:dyDescent="0.2">
      <c r="A162" s="9" t="s">
        <v>103</v>
      </c>
      <c r="B162" s="3">
        <v>2.21</v>
      </c>
      <c r="C162" s="3">
        <v>2.23</v>
      </c>
      <c r="D162" s="3">
        <v>2.1549999999999998</v>
      </c>
      <c r="E162" s="3">
        <v>2.1800000000000002</v>
      </c>
      <c r="F162" s="3">
        <v>1642928</v>
      </c>
      <c r="G162" s="3">
        <v>2445.9499999999998</v>
      </c>
      <c r="H162" s="3">
        <v>1121996411</v>
      </c>
    </row>
    <row r="163" spans="1:8" ht="15" customHeight="1" x14ac:dyDescent="0.2">
      <c r="A163" s="9" t="s">
        <v>102</v>
      </c>
      <c r="B163" s="3">
        <v>2.19</v>
      </c>
      <c r="C163" s="3">
        <v>2.2349999999999999</v>
      </c>
      <c r="D163" s="3">
        <v>2.16</v>
      </c>
      <c r="E163" s="3">
        <v>2.21</v>
      </c>
      <c r="F163" s="3">
        <v>2714189</v>
      </c>
      <c r="G163" s="3">
        <v>2479.61</v>
      </c>
      <c r="H163" s="3">
        <v>1121996411</v>
      </c>
    </row>
    <row r="164" spans="1:8" ht="15" customHeight="1" x14ac:dyDescent="0.2">
      <c r="A164" s="9" t="s">
        <v>101</v>
      </c>
      <c r="B164" s="3">
        <v>2.23</v>
      </c>
      <c r="C164" s="3">
        <v>2.2549999999999999</v>
      </c>
      <c r="D164" s="3">
        <v>2.19</v>
      </c>
      <c r="E164" s="3">
        <v>2.2200000000000002</v>
      </c>
      <c r="F164" s="3">
        <v>1983252</v>
      </c>
      <c r="G164" s="3">
        <v>2490.83</v>
      </c>
      <c r="H164" s="3">
        <v>1121996411</v>
      </c>
    </row>
    <row r="165" spans="1:8" ht="15" customHeight="1" x14ac:dyDescent="0.2">
      <c r="A165" s="9" t="s">
        <v>100</v>
      </c>
      <c r="B165" s="3">
        <v>2.21</v>
      </c>
      <c r="C165" s="3">
        <v>2.21</v>
      </c>
      <c r="D165" s="3">
        <v>2.16</v>
      </c>
      <c r="E165" s="3">
        <v>2.2000000000000002</v>
      </c>
      <c r="F165" s="3">
        <v>1613904</v>
      </c>
      <c r="G165" s="3">
        <v>2468.39</v>
      </c>
      <c r="H165" s="3">
        <v>1121996411</v>
      </c>
    </row>
    <row r="166" spans="1:8" ht="15" customHeight="1" x14ac:dyDescent="0.2">
      <c r="A166" s="9" t="s">
        <v>99</v>
      </c>
      <c r="B166" s="3">
        <v>2.2400000000000002</v>
      </c>
      <c r="C166" s="3">
        <v>2.25</v>
      </c>
      <c r="D166" s="3">
        <v>2.19</v>
      </c>
      <c r="E166" s="3">
        <v>2.2000000000000002</v>
      </c>
      <c r="F166" s="3">
        <v>2159662</v>
      </c>
      <c r="G166" s="3">
        <v>2468.39</v>
      </c>
      <c r="H166" s="3">
        <v>1121996411</v>
      </c>
    </row>
    <row r="167" spans="1:8" ht="15" customHeight="1" x14ac:dyDescent="0.2">
      <c r="A167" s="9" t="s">
        <v>98</v>
      </c>
      <c r="B167" s="3">
        <v>2.19</v>
      </c>
      <c r="C167" s="3">
        <v>2.2200000000000002</v>
      </c>
      <c r="D167" s="3">
        <v>2.1800000000000002</v>
      </c>
      <c r="E167" s="3">
        <v>2.19</v>
      </c>
      <c r="F167" s="3">
        <v>2023458</v>
      </c>
      <c r="G167" s="3">
        <v>2457.17</v>
      </c>
      <c r="H167" s="3">
        <v>1121996411</v>
      </c>
    </row>
    <row r="168" spans="1:8" ht="15" customHeight="1" x14ac:dyDescent="0.2">
      <c r="A168" s="9" t="s">
        <v>97</v>
      </c>
      <c r="B168" s="3">
        <v>2.2000000000000002</v>
      </c>
      <c r="C168" s="3">
        <v>2.25</v>
      </c>
      <c r="D168" s="3">
        <v>2.1850000000000001</v>
      </c>
      <c r="E168" s="3">
        <v>2.19</v>
      </c>
      <c r="F168" s="3">
        <v>2898292</v>
      </c>
      <c r="G168" s="3">
        <v>2457.17</v>
      </c>
      <c r="H168" s="3">
        <v>1121996411</v>
      </c>
    </row>
    <row r="169" spans="1:8" ht="15" customHeight="1" x14ac:dyDescent="0.2">
      <c r="A169" s="9" t="s">
        <v>96</v>
      </c>
      <c r="B169" s="3">
        <v>2.15</v>
      </c>
      <c r="C169" s="3">
        <v>2.1800000000000002</v>
      </c>
      <c r="D169" s="3">
        <v>2.0699999999999998</v>
      </c>
      <c r="E169" s="3">
        <v>2.14</v>
      </c>
      <c r="F169" s="3">
        <v>4115264</v>
      </c>
      <c r="G169" s="3">
        <v>2401.0700000000002</v>
      </c>
      <c r="H169" s="3">
        <v>1121996411</v>
      </c>
    </row>
    <row r="170" spans="1:8" ht="15" customHeight="1" x14ac:dyDescent="0.2">
      <c r="A170" s="9" t="s">
        <v>95</v>
      </c>
      <c r="B170" s="3">
        <v>2.16</v>
      </c>
      <c r="C170" s="3">
        <v>2.27</v>
      </c>
      <c r="D170" s="3">
        <v>2.13</v>
      </c>
      <c r="E170" s="3">
        <v>2.27</v>
      </c>
      <c r="F170" s="3">
        <v>4184964</v>
      </c>
      <c r="G170" s="3">
        <v>2546.9299999999998</v>
      </c>
      <c r="H170" s="3">
        <v>1121996411</v>
      </c>
    </row>
    <row r="171" spans="1:8" ht="15" customHeight="1" x14ac:dyDescent="0.2">
      <c r="A171" s="9" t="s">
        <v>94</v>
      </c>
      <c r="B171" s="3">
        <v>2.21</v>
      </c>
      <c r="C171" s="3">
        <v>2.21</v>
      </c>
      <c r="D171" s="3">
        <v>2.12</v>
      </c>
      <c r="E171" s="3">
        <v>2.2000000000000002</v>
      </c>
      <c r="F171" s="3">
        <v>3529342</v>
      </c>
      <c r="G171" s="3">
        <v>2468.39</v>
      </c>
      <c r="H171" s="3">
        <v>1121996411</v>
      </c>
    </row>
    <row r="172" spans="1:8" ht="15" customHeight="1" x14ac:dyDescent="0.2">
      <c r="A172" s="9" t="s">
        <v>93</v>
      </c>
      <c r="B172" s="3">
        <v>2.2000000000000002</v>
      </c>
      <c r="C172" s="3">
        <v>2.23</v>
      </c>
      <c r="D172" s="3">
        <v>2.17</v>
      </c>
      <c r="E172" s="3">
        <v>2.19</v>
      </c>
      <c r="F172" s="3">
        <v>4459257</v>
      </c>
      <c r="G172" s="3">
        <v>2457.17</v>
      </c>
      <c r="H172" s="3">
        <v>1121996411</v>
      </c>
    </row>
    <row r="173" spans="1:8" ht="15" customHeight="1" x14ac:dyDescent="0.2">
      <c r="A173" s="9" t="s">
        <v>92</v>
      </c>
      <c r="B173" s="3">
        <v>2.13</v>
      </c>
      <c r="C173" s="3">
        <v>2.16</v>
      </c>
      <c r="D173" s="3">
        <v>2.0449999999999999</v>
      </c>
      <c r="E173" s="3">
        <v>2.0699999999999998</v>
      </c>
      <c r="F173" s="3">
        <v>3934080</v>
      </c>
      <c r="G173" s="3">
        <v>2322.5300000000002</v>
      </c>
      <c r="H173" s="3">
        <v>1121996411</v>
      </c>
    </row>
    <row r="174" spans="1:8" ht="15" customHeight="1" x14ac:dyDescent="0.2">
      <c r="A174" s="9" t="s">
        <v>91</v>
      </c>
      <c r="B174" s="3">
        <v>2.09</v>
      </c>
      <c r="C174" s="3">
        <v>2.15</v>
      </c>
      <c r="D174" s="3">
        <v>2.0699999999999998</v>
      </c>
      <c r="E174" s="3">
        <v>2.14</v>
      </c>
      <c r="F174" s="3">
        <v>4487720</v>
      </c>
      <c r="G174" s="3">
        <v>2401.0700000000002</v>
      </c>
      <c r="H174" s="3">
        <v>1121996411</v>
      </c>
    </row>
    <row r="175" spans="1:8" ht="15" customHeight="1" x14ac:dyDescent="0.2">
      <c r="A175" s="9" t="s">
        <v>90</v>
      </c>
      <c r="B175" s="3">
        <v>2.15</v>
      </c>
      <c r="C175" s="3">
        <v>2.19</v>
      </c>
      <c r="D175" s="3">
        <v>2.09</v>
      </c>
      <c r="E175" s="3">
        <v>2.1800000000000002</v>
      </c>
      <c r="F175" s="3">
        <v>4379793</v>
      </c>
      <c r="G175" s="3">
        <v>2445.9499999999998</v>
      </c>
      <c r="H175" s="3">
        <v>1121996411</v>
      </c>
    </row>
    <row r="176" spans="1:8" ht="15" customHeight="1" x14ac:dyDescent="0.2">
      <c r="A176" s="9" t="s">
        <v>89</v>
      </c>
      <c r="B176" s="3">
        <v>2.14</v>
      </c>
      <c r="C176" s="3">
        <v>2.14</v>
      </c>
      <c r="D176" s="3">
        <v>2.0699999999999998</v>
      </c>
      <c r="E176" s="3">
        <v>2.0699999999999998</v>
      </c>
      <c r="F176" s="3">
        <v>3873791</v>
      </c>
      <c r="G176" s="3">
        <v>2335.5700000000002</v>
      </c>
      <c r="H176" s="3">
        <v>1128297058</v>
      </c>
    </row>
    <row r="177" spans="1:8" ht="15" customHeight="1" x14ac:dyDescent="0.2">
      <c r="A177" s="9" t="s">
        <v>88</v>
      </c>
      <c r="B177" s="3">
        <v>2.09</v>
      </c>
      <c r="C177" s="3">
        <v>2.1150000000000002</v>
      </c>
      <c r="D177" s="3">
        <v>2.09</v>
      </c>
      <c r="E177" s="3">
        <v>2.11</v>
      </c>
      <c r="F177" s="3">
        <v>3258693</v>
      </c>
      <c r="G177" s="3">
        <v>2380.71</v>
      </c>
      <c r="H177" s="3">
        <v>1128297058</v>
      </c>
    </row>
    <row r="178" spans="1:8" ht="15" customHeight="1" x14ac:dyDescent="0.2">
      <c r="A178" s="9" t="s">
        <v>87</v>
      </c>
      <c r="B178" s="3">
        <v>2.14</v>
      </c>
      <c r="C178" s="3">
        <v>2.1800000000000002</v>
      </c>
      <c r="D178" s="3">
        <v>2.11</v>
      </c>
      <c r="E178" s="3">
        <v>2.11</v>
      </c>
      <c r="F178" s="3">
        <v>3065109</v>
      </c>
      <c r="G178" s="3">
        <v>2380.71</v>
      </c>
      <c r="H178" s="3">
        <v>1128297058</v>
      </c>
    </row>
    <row r="179" spans="1:8" ht="15" customHeight="1" x14ac:dyDescent="0.2">
      <c r="A179" s="9" t="s">
        <v>86</v>
      </c>
      <c r="B179" s="3">
        <v>2.14</v>
      </c>
      <c r="C179" s="3">
        <v>2.16</v>
      </c>
      <c r="D179" s="3">
        <v>2.12</v>
      </c>
      <c r="E179" s="3">
        <v>2.15</v>
      </c>
      <c r="F179" s="3">
        <v>3263343</v>
      </c>
      <c r="G179" s="3">
        <v>2425.84</v>
      </c>
      <c r="H179" s="3">
        <v>1128297058</v>
      </c>
    </row>
    <row r="180" spans="1:8" ht="15" customHeight="1" x14ac:dyDescent="0.2">
      <c r="A180" s="9" t="s">
        <v>85</v>
      </c>
      <c r="B180" s="3">
        <v>2.23</v>
      </c>
      <c r="C180" s="3">
        <v>2.2400000000000002</v>
      </c>
      <c r="D180" s="3">
        <v>2.1800000000000002</v>
      </c>
      <c r="E180" s="3">
        <v>2.2000000000000002</v>
      </c>
      <c r="F180" s="3">
        <v>6815223</v>
      </c>
      <c r="G180" s="3">
        <v>2482.25</v>
      </c>
      <c r="H180" s="3">
        <v>1128297058</v>
      </c>
    </row>
    <row r="181" spans="1:8" ht="15" customHeight="1" x14ac:dyDescent="0.2">
      <c r="A181" s="9" t="s">
        <v>84</v>
      </c>
      <c r="B181" s="3">
        <v>2.21</v>
      </c>
      <c r="C181" s="3">
        <v>2.2200000000000002</v>
      </c>
      <c r="D181" s="3">
        <v>2.16</v>
      </c>
      <c r="E181" s="3">
        <v>2.17</v>
      </c>
      <c r="F181" s="3">
        <v>4441009</v>
      </c>
      <c r="G181" s="3">
        <v>2448.4</v>
      </c>
      <c r="H181" s="3">
        <v>1128297058</v>
      </c>
    </row>
    <row r="182" spans="1:8" ht="15" customHeight="1" x14ac:dyDescent="0.2">
      <c r="A182" s="9" t="s">
        <v>83</v>
      </c>
      <c r="B182" s="3">
        <v>2.19</v>
      </c>
      <c r="C182" s="3">
        <v>2.2050000000000001</v>
      </c>
      <c r="D182" s="3">
        <v>2.09</v>
      </c>
      <c r="E182" s="3">
        <v>2.11</v>
      </c>
      <c r="F182" s="3">
        <v>4342126</v>
      </c>
      <c r="G182" s="3">
        <v>2381.0300000000002</v>
      </c>
      <c r="H182" s="3">
        <v>1128451608</v>
      </c>
    </row>
    <row r="183" spans="1:8" ht="15" customHeight="1" x14ac:dyDescent="0.2">
      <c r="A183" s="9" t="s">
        <v>82</v>
      </c>
      <c r="B183" s="3">
        <v>2.08</v>
      </c>
      <c r="C183" s="3">
        <v>2.12</v>
      </c>
      <c r="D183" s="3">
        <v>2.0499999999999998</v>
      </c>
      <c r="E183" s="3">
        <v>2.1</v>
      </c>
      <c r="F183" s="3">
        <v>4569170</v>
      </c>
      <c r="G183" s="3">
        <v>2369.75</v>
      </c>
      <c r="H183" s="3">
        <v>1128451608</v>
      </c>
    </row>
    <row r="184" spans="1:8" ht="15" customHeight="1" x14ac:dyDescent="0.2">
      <c r="A184" s="9" t="s">
        <v>81</v>
      </c>
      <c r="B184" s="3">
        <v>2.1</v>
      </c>
      <c r="C184" s="3">
        <v>2.14</v>
      </c>
      <c r="D184" s="3">
        <v>2.06</v>
      </c>
      <c r="E184" s="3">
        <v>2.12</v>
      </c>
      <c r="F184" s="3">
        <v>4927386</v>
      </c>
      <c r="G184" s="3">
        <v>2392.3200000000002</v>
      </c>
      <c r="H184" s="3">
        <v>1128451608</v>
      </c>
    </row>
    <row r="185" spans="1:8" ht="15" customHeight="1" x14ac:dyDescent="0.2">
      <c r="A185" s="9" t="s">
        <v>80</v>
      </c>
      <c r="B185" s="3">
        <v>2.14</v>
      </c>
      <c r="C185" s="3">
        <v>2.19</v>
      </c>
      <c r="D185" s="3">
        <v>2.11</v>
      </c>
      <c r="E185" s="3">
        <v>2.11</v>
      </c>
      <c r="F185" s="3">
        <v>16905572</v>
      </c>
      <c r="G185" s="3">
        <v>2381.0300000000002</v>
      </c>
      <c r="H185" s="3">
        <v>1128451608</v>
      </c>
    </row>
    <row r="186" spans="1:8" ht="15" customHeight="1" x14ac:dyDescent="0.2">
      <c r="A186" s="9" t="s">
        <v>79</v>
      </c>
      <c r="B186" s="3">
        <v>2.11</v>
      </c>
      <c r="C186" s="3">
        <v>2.16</v>
      </c>
      <c r="D186" s="3">
        <v>2.0699999999999998</v>
      </c>
      <c r="E186" s="3">
        <v>2.11</v>
      </c>
      <c r="F186" s="3">
        <v>3651624</v>
      </c>
      <c r="G186" s="3">
        <v>2381.0300000000002</v>
      </c>
      <c r="H186" s="3">
        <v>1128451608</v>
      </c>
    </row>
    <row r="187" spans="1:8" ht="15" customHeight="1" x14ac:dyDescent="0.2">
      <c r="A187" s="9" t="s">
        <v>78</v>
      </c>
      <c r="B187" s="3">
        <v>2.0699999999999998</v>
      </c>
      <c r="C187" s="3">
        <v>2.1</v>
      </c>
      <c r="D187" s="3">
        <v>2.0499999999999998</v>
      </c>
      <c r="E187" s="3">
        <v>2.0699999999999998</v>
      </c>
      <c r="F187" s="3">
        <v>5491680</v>
      </c>
      <c r="G187" s="3">
        <v>2335.89</v>
      </c>
      <c r="H187" s="3">
        <v>1128451608</v>
      </c>
    </row>
    <row r="188" spans="1:8" ht="15" customHeight="1" x14ac:dyDescent="0.2">
      <c r="A188" s="9" t="s">
        <v>77</v>
      </c>
      <c r="B188" s="3">
        <v>2.14</v>
      </c>
      <c r="C188" s="3">
        <v>2.1850000000000001</v>
      </c>
      <c r="D188" s="3">
        <v>2.1</v>
      </c>
      <c r="E188" s="3">
        <v>2.1</v>
      </c>
      <c r="F188" s="3">
        <v>4713110</v>
      </c>
      <c r="G188" s="3">
        <v>2369.75</v>
      </c>
      <c r="H188" s="3">
        <v>1128451608</v>
      </c>
    </row>
    <row r="189" spans="1:8" ht="15" customHeight="1" x14ac:dyDescent="0.2">
      <c r="A189" s="9" t="s">
        <v>76</v>
      </c>
      <c r="B189" s="3">
        <v>2.13</v>
      </c>
      <c r="C189" s="3">
        <v>2.15</v>
      </c>
      <c r="D189" s="3">
        <v>2.09</v>
      </c>
      <c r="E189" s="3">
        <v>2.15</v>
      </c>
      <c r="F189" s="3">
        <v>4492014</v>
      </c>
      <c r="G189" s="3">
        <v>2426.17</v>
      </c>
      <c r="H189" s="3">
        <v>1128451608</v>
      </c>
    </row>
    <row r="190" spans="1:8" ht="15" customHeight="1" x14ac:dyDescent="0.2">
      <c r="A190" s="9" t="s">
        <v>75</v>
      </c>
      <c r="B190" s="3">
        <v>2.11</v>
      </c>
      <c r="C190" s="3">
        <v>2.15</v>
      </c>
      <c r="D190" s="3">
        <v>2.09</v>
      </c>
      <c r="E190" s="3">
        <v>2.15</v>
      </c>
      <c r="F190" s="3">
        <v>4089913</v>
      </c>
      <c r="G190" s="3">
        <v>2426.17</v>
      </c>
      <c r="H190" s="3">
        <v>1128451608</v>
      </c>
    </row>
    <row r="191" spans="1:8" ht="15" customHeight="1" x14ac:dyDescent="0.2">
      <c r="A191" s="9" t="s">
        <v>74</v>
      </c>
      <c r="B191" s="3">
        <v>2.14</v>
      </c>
      <c r="C191" s="3">
        <v>2.14</v>
      </c>
      <c r="D191" s="3">
        <v>2.0299999999999998</v>
      </c>
      <c r="E191" s="3">
        <v>2.06</v>
      </c>
      <c r="F191" s="3">
        <v>5991535</v>
      </c>
      <c r="G191" s="3">
        <v>2324.61</v>
      </c>
      <c r="H191" s="3">
        <v>1128451608</v>
      </c>
    </row>
    <row r="192" spans="1:8" ht="15" customHeight="1" x14ac:dyDescent="0.2">
      <c r="A192" s="9" t="s">
        <v>73</v>
      </c>
      <c r="B192" s="3">
        <v>2.04</v>
      </c>
      <c r="C192" s="3">
        <v>2.0499999999999998</v>
      </c>
      <c r="D192" s="3">
        <v>2.0099999999999998</v>
      </c>
      <c r="E192" s="3">
        <v>2.04</v>
      </c>
      <c r="F192" s="3">
        <v>3004706</v>
      </c>
      <c r="G192" s="3">
        <v>2302.04</v>
      </c>
      <c r="H192" s="3">
        <v>1128451608</v>
      </c>
    </row>
    <row r="193" spans="1:8" ht="15" customHeight="1" x14ac:dyDescent="0.2">
      <c r="A193" s="9" t="s">
        <v>72</v>
      </c>
      <c r="B193" s="3">
        <v>2.08</v>
      </c>
      <c r="C193" s="3">
        <v>2.125</v>
      </c>
      <c r="D193" s="3">
        <v>2.0699999999999998</v>
      </c>
      <c r="E193" s="3">
        <v>2.09</v>
      </c>
      <c r="F193" s="3">
        <v>4624069</v>
      </c>
      <c r="G193" s="3">
        <v>2358.46</v>
      </c>
      <c r="H193" s="3">
        <v>1128451608</v>
      </c>
    </row>
    <row r="194" spans="1:8" ht="15" customHeight="1" x14ac:dyDescent="0.2">
      <c r="A194" s="9" t="s">
        <v>71</v>
      </c>
      <c r="B194" s="3">
        <v>2.08</v>
      </c>
      <c r="C194" s="3">
        <v>2.08</v>
      </c>
      <c r="D194" s="3">
        <v>2</v>
      </c>
      <c r="E194" s="3">
        <v>2.02</v>
      </c>
      <c r="F194" s="3">
        <v>2495368</v>
      </c>
      <c r="G194" s="3">
        <v>2279.4699999999998</v>
      </c>
      <c r="H194" s="3">
        <v>1128451608</v>
      </c>
    </row>
    <row r="195" spans="1:8" ht="15" customHeight="1" x14ac:dyDescent="0.2">
      <c r="A195" s="9" t="s">
        <v>70</v>
      </c>
      <c r="B195" s="3">
        <v>2.02</v>
      </c>
      <c r="C195" s="3">
        <v>2.0449999999999999</v>
      </c>
      <c r="D195" s="3">
        <v>1.98</v>
      </c>
      <c r="E195" s="3">
        <v>2.04</v>
      </c>
      <c r="F195" s="3">
        <v>2738137</v>
      </c>
      <c r="G195" s="3">
        <v>2302.04</v>
      </c>
      <c r="H195" s="3">
        <v>1128451608</v>
      </c>
    </row>
    <row r="196" spans="1:8" ht="15" customHeight="1" x14ac:dyDescent="0.2">
      <c r="A196" s="9" t="s">
        <v>69</v>
      </c>
      <c r="B196" s="3">
        <v>2.04</v>
      </c>
      <c r="C196" s="3">
        <v>2.04</v>
      </c>
      <c r="D196" s="3">
        <v>1.98</v>
      </c>
      <c r="E196" s="3">
        <v>2.02</v>
      </c>
      <c r="F196" s="3">
        <v>2157597</v>
      </c>
      <c r="G196" s="3">
        <v>2279.4699999999998</v>
      </c>
      <c r="H196" s="3">
        <v>1128451608</v>
      </c>
    </row>
    <row r="197" spans="1:8" ht="15" customHeight="1" x14ac:dyDescent="0.2">
      <c r="A197" s="9" t="s">
        <v>68</v>
      </c>
      <c r="B197" s="3">
        <v>1.9950000000000001</v>
      </c>
      <c r="C197" s="3">
        <v>2.0299999999999998</v>
      </c>
      <c r="D197" s="3">
        <v>1.99</v>
      </c>
      <c r="E197" s="3">
        <v>2.0099999999999998</v>
      </c>
      <c r="F197" s="3">
        <v>2128136</v>
      </c>
      <c r="G197" s="3">
        <v>2268.19</v>
      </c>
      <c r="H197" s="3">
        <v>1128451608</v>
      </c>
    </row>
    <row r="198" spans="1:8" ht="15" customHeight="1" x14ac:dyDescent="0.2">
      <c r="A198" s="9" t="s">
        <v>67</v>
      </c>
      <c r="B198" s="3">
        <v>1.98</v>
      </c>
      <c r="C198" s="3">
        <v>2.0299999999999998</v>
      </c>
      <c r="D198" s="3">
        <v>1.98</v>
      </c>
      <c r="E198" s="3">
        <v>1.9950000000000001</v>
      </c>
      <c r="F198" s="3">
        <v>1690731</v>
      </c>
      <c r="G198" s="3">
        <v>2251.2600000000002</v>
      </c>
      <c r="H198" s="3">
        <v>1128451608</v>
      </c>
    </row>
    <row r="199" spans="1:8" ht="15" customHeight="1" x14ac:dyDescent="0.2">
      <c r="A199" s="9" t="s">
        <v>66</v>
      </c>
      <c r="B199" s="3">
        <v>2.02</v>
      </c>
      <c r="C199" s="3">
        <v>2.0350000000000001</v>
      </c>
      <c r="D199" s="3">
        <v>2.0049999999999999</v>
      </c>
      <c r="E199" s="3">
        <v>2.0299999999999998</v>
      </c>
      <c r="F199" s="3">
        <v>1385526</v>
      </c>
      <c r="G199" s="3">
        <v>2290.7600000000002</v>
      </c>
      <c r="H199" s="3">
        <v>1128451608</v>
      </c>
    </row>
    <row r="200" spans="1:8" ht="15" customHeight="1" x14ac:dyDescent="0.2">
      <c r="A200" s="9" t="s">
        <v>65</v>
      </c>
      <c r="B200" s="3">
        <v>2.0499999999999998</v>
      </c>
      <c r="C200" s="3">
        <v>2.1</v>
      </c>
      <c r="D200" s="3">
        <v>2.0499999999999998</v>
      </c>
      <c r="E200" s="3">
        <v>2.0699999999999998</v>
      </c>
      <c r="F200" s="3">
        <v>2434260</v>
      </c>
      <c r="G200" s="3">
        <v>2335.89</v>
      </c>
      <c r="H200" s="3">
        <v>1128451608</v>
      </c>
    </row>
    <row r="201" spans="1:8" ht="15" customHeight="1" x14ac:dyDescent="0.2">
      <c r="A201" s="9" t="s">
        <v>64</v>
      </c>
      <c r="B201" s="3">
        <v>2.09</v>
      </c>
      <c r="C201" s="3">
        <v>2.09</v>
      </c>
      <c r="D201" s="3">
        <v>2.04</v>
      </c>
      <c r="E201" s="3">
        <v>2.0499999999999998</v>
      </c>
      <c r="F201" s="3">
        <v>2766684</v>
      </c>
      <c r="G201" s="3">
        <v>2313.33</v>
      </c>
      <c r="H201" s="3">
        <v>1128451608</v>
      </c>
    </row>
    <row r="202" spans="1:8" ht="15" customHeight="1" x14ac:dyDescent="0.2">
      <c r="A202" s="9" t="s">
        <v>63</v>
      </c>
      <c r="B202" s="3">
        <v>2.08</v>
      </c>
      <c r="C202" s="3">
        <v>2.13</v>
      </c>
      <c r="D202" s="3">
        <v>2.0699999999999998</v>
      </c>
      <c r="E202" s="3">
        <v>2.08</v>
      </c>
      <c r="F202" s="3">
        <v>2450242</v>
      </c>
      <c r="G202" s="3">
        <v>2347.1799999999998</v>
      </c>
      <c r="H202" s="3">
        <v>1128451608</v>
      </c>
    </row>
    <row r="203" spans="1:8" ht="15" customHeight="1" x14ac:dyDescent="0.2">
      <c r="A203" s="9" t="s">
        <v>62</v>
      </c>
      <c r="B203" s="3">
        <v>2.12</v>
      </c>
      <c r="C203" s="3">
        <v>2.19</v>
      </c>
      <c r="D203" s="3">
        <v>2.11</v>
      </c>
      <c r="E203" s="3">
        <v>2.19</v>
      </c>
      <c r="F203" s="3">
        <v>4890832</v>
      </c>
      <c r="G203" s="3">
        <v>2471.31</v>
      </c>
      <c r="H203" s="3">
        <v>1128451608</v>
      </c>
    </row>
    <row r="204" spans="1:8" ht="15" customHeight="1" x14ac:dyDescent="0.2">
      <c r="A204" s="9" t="s">
        <v>61</v>
      </c>
      <c r="B204" s="3">
        <v>2.2400000000000002</v>
      </c>
      <c r="C204" s="3">
        <v>2.3199999999999998</v>
      </c>
      <c r="D204" s="3">
        <v>2.2000000000000002</v>
      </c>
      <c r="E204" s="3">
        <v>2.3199999999999998</v>
      </c>
      <c r="F204" s="3">
        <v>11871902</v>
      </c>
      <c r="G204" s="3">
        <v>2618.0100000000002</v>
      </c>
      <c r="H204" s="3">
        <v>1128451608</v>
      </c>
    </row>
    <row r="205" spans="1:8" ht="15" customHeight="1" x14ac:dyDescent="0.2">
      <c r="A205" s="9" t="s">
        <v>60</v>
      </c>
      <c r="B205" s="3">
        <v>2.2999999999999998</v>
      </c>
      <c r="C205" s="3">
        <v>2.3199999999999998</v>
      </c>
      <c r="D205" s="3">
        <v>2.2549999999999999</v>
      </c>
      <c r="E205" s="3">
        <v>2.2999999999999998</v>
      </c>
      <c r="F205" s="3">
        <v>42702149</v>
      </c>
      <c r="G205" s="3">
        <v>2595.44</v>
      </c>
      <c r="H205" s="3">
        <v>1128451608</v>
      </c>
    </row>
    <row r="206" spans="1:8" ht="15" customHeight="1" x14ac:dyDescent="0.2">
      <c r="A206" s="9" t="s">
        <v>59</v>
      </c>
      <c r="B206" s="3">
        <v>2.4</v>
      </c>
      <c r="C206" s="3">
        <v>2.4750000000000001</v>
      </c>
      <c r="D206" s="3">
        <v>2.375</v>
      </c>
      <c r="E206" s="3">
        <v>2.4700000000000002</v>
      </c>
      <c r="F206" s="3">
        <v>5538373</v>
      </c>
      <c r="G206" s="3">
        <v>2787.28</v>
      </c>
      <c r="H206" s="3">
        <v>1128451608</v>
      </c>
    </row>
    <row r="207" spans="1:8" ht="15" customHeight="1" x14ac:dyDescent="0.2">
      <c r="A207" s="9" t="s">
        <v>58</v>
      </c>
      <c r="B207" s="3">
        <v>2.4300000000000002</v>
      </c>
      <c r="C207" s="3">
        <v>2.4900000000000002</v>
      </c>
      <c r="D207" s="3">
        <v>2.3849999999999998</v>
      </c>
      <c r="E207" s="3">
        <v>2.4900000000000002</v>
      </c>
      <c r="F207" s="3">
        <v>4257193</v>
      </c>
      <c r="G207" s="3">
        <v>2809.84</v>
      </c>
      <c r="H207" s="3">
        <v>1128451608</v>
      </c>
    </row>
    <row r="208" spans="1:8" ht="15" customHeight="1" x14ac:dyDescent="0.2">
      <c r="A208" s="9" t="s">
        <v>57</v>
      </c>
      <c r="B208" s="3">
        <v>2.4700000000000002</v>
      </c>
      <c r="C208" s="3">
        <v>2.5750000000000002</v>
      </c>
      <c r="D208" s="3">
        <v>2.46</v>
      </c>
      <c r="E208" s="3">
        <v>2.56</v>
      </c>
      <c r="F208" s="3">
        <v>7551288</v>
      </c>
      <c r="G208" s="3">
        <v>2888.84</v>
      </c>
      <c r="H208" s="3">
        <v>1128451608</v>
      </c>
    </row>
    <row r="209" spans="1:8" ht="15" customHeight="1" x14ac:dyDescent="0.2">
      <c r="A209" s="9" t="s">
        <v>56</v>
      </c>
      <c r="B209" s="3">
        <v>2.4900000000000002</v>
      </c>
      <c r="C209" s="3">
        <v>2.52</v>
      </c>
      <c r="D209" s="3">
        <v>2.4300000000000002</v>
      </c>
      <c r="E209" s="3">
        <v>2.4900000000000002</v>
      </c>
      <c r="F209" s="3">
        <v>4814698</v>
      </c>
      <c r="G209" s="3">
        <v>2810.09</v>
      </c>
      <c r="H209" s="3">
        <v>1128548275</v>
      </c>
    </row>
    <row r="210" spans="1:8" ht="15" customHeight="1" x14ac:dyDescent="0.2">
      <c r="A210" s="9" t="s">
        <v>55</v>
      </c>
      <c r="B210" s="3">
        <v>2.4700000000000002</v>
      </c>
      <c r="C210" s="3">
        <v>2.5299999999999998</v>
      </c>
      <c r="D210" s="3">
        <v>2.4500000000000002</v>
      </c>
      <c r="E210" s="3">
        <v>2.5299999999999998</v>
      </c>
      <c r="F210" s="3">
        <v>3463120</v>
      </c>
      <c r="G210" s="3">
        <v>2855.23</v>
      </c>
      <c r="H210" s="3">
        <v>1128548275</v>
      </c>
    </row>
    <row r="211" spans="1:8" ht="15" customHeight="1" x14ac:dyDescent="0.2">
      <c r="A211" s="9" t="s">
        <v>54</v>
      </c>
      <c r="B211" s="3">
        <v>2.5</v>
      </c>
      <c r="C211" s="3">
        <v>2.5049999999999999</v>
      </c>
      <c r="D211" s="3">
        <v>2.42</v>
      </c>
      <c r="E211" s="3">
        <v>2.44</v>
      </c>
      <c r="F211" s="3">
        <v>3246009</v>
      </c>
      <c r="G211" s="3">
        <v>2753.66</v>
      </c>
      <c r="H211" s="3">
        <v>1128548275</v>
      </c>
    </row>
    <row r="212" spans="1:8" ht="15" customHeight="1" x14ac:dyDescent="0.2">
      <c r="A212" s="9" t="s">
        <v>53</v>
      </c>
      <c r="B212" s="3">
        <v>2.46</v>
      </c>
      <c r="C212" s="3">
        <v>2.4950000000000001</v>
      </c>
      <c r="D212" s="3">
        <v>2.42</v>
      </c>
      <c r="E212" s="3">
        <v>2.4700000000000002</v>
      </c>
      <c r="F212" s="3">
        <v>3844996</v>
      </c>
      <c r="G212" s="3">
        <v>2787.51</v>
      </c>
      <c r="H212" s="3">
        <v>1128548275</v>
      </c>
    </row>
    <row r="213" spans="1:8" ht="15" customHeight="1" x14ac:dyDescent="0.2">
      <c r="A213" s="9" t="s">
        <v>52</v>
      </c>
      <c r="B213" s="3">
        <v>2.5</v>
      </c>
      <c r="C213" s="3">
        <v>2.5049999999999999</v>
      </c>
      <c r="D213" s="3">
        <v>2.39</v>
      </c>
      <c r="E213" s="3">
        <v>2.44</v>
      </c>
      <c r="F213" s="3">
        <v>5448323</v>
      </c>
      <c r="G213" s="3">
        <v>2753.66</v>
      </c>
      <c r="H213" s="3">
        <v>1128548275</v>
      </c>
    </row>
    <row r="214" spans="1:8" ht="15" customHeight="1" x14ac:dyDescent="0.2">
      <c r="A214" s="9" t="s">
        <v>51</v>
      </c>
      <c r="B214" s="3">
        <v>2.4</v>
      </c>
      <c r="C214" s="3">
        <v>2.46</v>
      </c>
      <c r="D214" s="3">
        <v>2.38</v>
      </c>
      <c r="E214" s="3">
        <v>2.4500000000000002</v>
      </c>
      <c r="F214" s="3">
        <v>2881964</v>
      </c>
      <c r="G214" s="3">
        <v>2764.94</v>
      </c>
      <c r="H214" s="3">
        <v>1128548275</v>
      </c>
    </row>
    <row r="215" spans="1:8" ht="15" customHeight="1" x14ac:dyDescent="0.2">
      <c r="A215" s="9" t="s">
        <v>50</v>
      </c>
      <c r="B215" s="3">
        <v>2.4</v>
      </c>
      <c r="C215" s="3">
        <v>2.4</v>
      </c>
      <c r="D215" s="3">
        <v>2.33</v>
      </c>
      <c r="E215" s="3">
        <v>2.34</v>
      </c>
      <c r="F215" s="3">
        <v>3413532</v>
      </c>
      <c r="G215" s="3">
        <v>2640.8</v>
      </c>
      <c r="H215" s="3">
        <v>1128548275</v>
      </c>
    </row>
    <row r="216" spans="1:8" ht="15" customHeight="1" x14ac:dyDescent="0.2">
      <c r="A216" s="9" t="s">
        <v>49</v>
      </c>
      <c r="B216" s="3">
        <v>2.34</v>
      </c>
      <c r="C216" s="3">
        <v>2.36</v>
      </c>
      <c r="D216" s="3">
        <v>2.2999999999999998</v>
      </c>
      <c r="E216" s="3">
        <v>2.3199999999999998</v>
      </c>
      <c r="F216" s="3">
        <v>2755834</v>
      </c>
      <c r="G216" s="3">
        <v>2618.23</v>
      </c>
      <c r="H216" s="3">
        <v>1128548275</v>
      </c>
    </row>
    <row r="217" spans="1:8" ht="15" customHeight="1" x14ac:dyDescent="0.2">
      <c r="A217" s="9" t="s">
        <v>48</v>
      </c>
      <c r="B217" s="3">
        <v>2.2999999999999998</v>
      </c>
      <c r="C217" s="3">
        <v>2.31</v>
      </c>
      <c r="D217" s="3">
        <v>2.25</v>
      </c>
      <c r="E217" s="3">
        <v>2.2599999999999998</v>
      </c>
      <c r="F217" s="3">
        <v>1899409</v>
      </c>
      <c r="G217" s="3">
        <v>2550.52</v>
      </c>
      <c r="H217" s="3">
        <v>1128548275</v>
      </c>
    </row>
    <row r="218" spans="1:8" ht="15" customHeight="1" x14ac:dyDescent="0.2">
      <c r="A218" s="9" t="s">
        <v>47</v>
      </c>
      <c r="B218" s="3">
        <v>2.2599999999999998</v>
      </c>
      <c r="C218" s="3">
        <v>2.2999999999999998</v>
      </c>
      <c r="D218" s="3">
        <v>2.19</v>
      </c>
      <c r="E218" s="3">
        <v>2.23</v>
      </c>
      <c r="F218" s="3">
        <v>3603986</v>
      </c>
      <c r="G218" s="3">
        <v>2516.66</v>
      </c>
      <c r="H218" s="3">
        <v>1128548275</v>
      </c>
    </row>
    <row r="219" spans="1:8" ht="15" customHeight="1" x14ac:dyDescent="0.2">
      <c r="A219" s="9" t="s">
        <v>46</v>
      </c>
      <c r="B219" s="3">
        <v>2.17</v>
      </c>
      <c r="C219" s="3">
        <v>2.17</v>
      </c>
      <c r="D219" s="3">
        <v>2.09</v>
      </c>
      <c r="E219" s="3">
        <v>2.14</v>
      </c>
      <c r="F219" s="3">
        <v>7539723</v>
      </c>
      <c r="G219" s="3">
        <v>2415.09</v>
      </c>
      <c r="H219" s="3">
        <v>1128548275</v>
      </c>
    </row>
    <row r="220" spans="1:8" ht="15" customHeight="1" x14ac:dyDescent="0.2">
      <c r="A220" s="9" t="s">
        <v>45</v>
      </c>
      <c r="B220" s="3">
        <v>2.19</v>
      </c>
      <c r="C220" s="3">
        <v>2.2599999999999998</v>
      </c>
      <c r="D220" s="3">
        <v>2.1749999999999998</v>
      </c>
      <c r="E220" s="3">
        <v>2.2400000000000002</v>
      </c>
      <c r="F220" s="3">
        <v>6161301</v>
      </c>
      <c r="G220" s="3">
        <v>2527.9499999999998</v>
      </c>
      <c r="H220" s="3">
        <v>1128548275</v>
      </c>
    </row>
    <row r="221" spans="1:8" ht="15" customHeight="1" x14ac:dyDescent="0.2">
      <c r="A221" s="9" t="s">
        <v>44</v>
      </c>
      <c r="B221" s="3">
        <v>2.23</v>
      </c>
      <c r="C221" s="3">
        <v>2.35</v>
      </c>
      <c r="D221" s="3">
        <v>2.23</v>
      </c>
      <c r="E221" s="3">
        <v>2.33</v>
      </c>
      <c r="F221" s="3">
        <v>4492287</v>
      </c>
      <c r="G221" s="3">
        <v>2629.52</v>
      </c>
      <c r="H221" s="3">
        <v>1128548275</v>
      </c>
    </row>
    <row r="222" spans="1:8" ht="15" customHeight="1" x14ac:dyDescent="0.2">
      <c r="A222" s="9" t="s">
        <v>43</v>
      </c>
      <c r="B222" s="3">
        <v>2.2400000000000002</v>
      </c>
      <c r="C222" s="3">
        <v>2.31</v>
      </c>
      <c r="D222" s="3">
        <v>2.2000000000000002</v>
      </c>
      <c r="E222" s="3">
        <v>2.2999999999999998</v>
      </c>
      <c r="F222" s="3">
        <v>7894703</v>
      </c>
      <c r="G222" s="3">
        <v>2595.66</v>
      </c>
      <c r="H222" s="3">
        <v>1128548275</v>
      </c>
    </row>
    <row r="223" spans="1:8" ht="15" customHeight="1" x14ac:dyDescent="0.2">
      <c r="A223" s="9" t="s">
        <v>42</v>
      </c>
      <c r="B223" s="3">
        <v>2.2799999999999998</v>
      </c>
      <c r="C223" s="3">
        <v>2.335</v>
      </c>
      <c r="D223" s="3">
        <v>2.2599999999999998</v>
      </c>
      <c r="E223" s="3">
        <v>2.2999999999999998</v>
      </c>
      <c r="F223" s="3">
        <v>5404955</v>
      </c>
      <c r="G223" s="3">
        <v>2595.66</v>
      </c>
      <c r="H223" s="3">
        <v>1128548275</v>
      </c>
    </row>
    <row r="224" spans="1:8" ht="15" customHeight="1" x14ac:dyDescent="0.2">
      <c r="A224" s="9" t="s">
        <v>41</v>
      </c>
      <c r="B224" s="3">
        <v>2.2799999999999998</v>
      </c>
      <c r="C224" s="3">
        <v>2.29</v>
      </c>
      <c r="D224" s="3">
        <v>2.21</v>
      </c>
      <c r="E224" s="3">
        <v>2.23</v>
      </c>
      <c r="F224" s="3">
        <v>4158116</v>
      </c>
      <c r="G224" s="3">
        <v>2516.66</v>
      </c>
      <c r="H224" s="3">
        <v>1128548275</v>
      </c>
    </row>
    <row r="225" spans="1:8" ht="15" customHeight="1" x14ac:dyDescent="0.2">
      <c r="A225" s="9" t="s">
        <v>40</v>
      </c>
      <c r="B225" s="3">
        <v>2.2999999999999998</v>
      </c>
      <c r="C225" s="3">
        <v>2.31</v>
      </c>
      <c r="D225" s="3">
        <v>2.2400000000000002</v>
      </c>
      <c r="E225" s="3">
        <v>2.27</v>
      </c>
      <c r="F225" s="3">
        <v>2173065</v>
      </c>
      <c r="G225" s="3">
        <v>2561.8000000000002</v>
      </c>
      <c r="H225" s="3">
        <v>1128548275</v>
      </c>
    </row>
    <row r="226" spans="1:8" ht="15" customHeight="1" x14ac:dyDescent="0.2">
      <c r="A226" s="9" t="s">
        <v>39</v>
      </c>
      <c r="B226" s="3">
        <v>2.27</v>
      </c>
      <c r="C226" s="3">
        <v>2.36</v>
      </c>
      <c r="D226" s="3">
        <v>2.2599999999999998</v>
      </c>
      <c r="E226" s="3">
        <v>2.31</v>
      </c>
      <c r="F226" s="3">
        <v>3595353</v>
      </c>
      <c r="G226" s="3">
        <v>2606.9499999999998</v>
      </c>
      <c r="H226" s="3">
        <v>1128548275</v>
      </c>
    </row>
    <row r="227" spans="1:8" ht="15" customHeight="1" x14ac:dyDescent="0.2">
      <c r="A227" s="9" t="s">
        <v>38</v>
      </c>
      <c r="B227" s="3">
        <v>2.34</v>
      </c>
      <c r="C227" s="3">
        <v>2.4500000000000002</v>
      </c>
      <c r="D227" s="3">
        <v>2.34</v>
      </c>
      <c r="E227" s="3">
        <v>2.42</v>
      </c>
      <c r="F227" s="3">
        <v>3618639</v>
      </c>
      <c r="G227" s="3">
        <v>2731.09</v>
      </c>
      <c r="H227" s="3">
        <v>1128548275</v>
      </c>
    </row>
    <row r="228" spans="1:8" ht="15" customHeight="1" x14ac:dyDescent="0.2">
      <c r="A228" s="9" t="s">
        <v>37</v>
      </c>
      <c r="B228" s="3">
        <v>2.46</v>
      </c>
      <c r="C228" s="3">
        <v>2.5</v>
      </c>
      <c r="D228" s="3">
        <v>2.4550000000000001</v>
      </c>
      <c r="E228" s="3">
        <v>2.4700000000000002</v>
      </c>
      <c r="F228" s="3">
        <v>3400882</v>
      </c>
      <c r="G228" s="3">
        <v>2787.51</v>
      </c>
      <c r="H228" s="3">
        <v>1128548275</v>
      </c>
    </row>
    <row r="229" spans="1:8" ht="15" customHeight="1" x14ac:dyDescent="0.2">
      <c r="A229" s="9" t="s">
        <v>36</v>
      </c>
      <c r="B229" s="3">
        <v>2.5</v>
      </c>
      <c r="C229" s="3">
        <v>2.5</v>
      </c>
      <c r="D229" s="3">
        <v>2.46</v>
      </c>
      <c r="E229" s="3">
        <v>2.48</v>
      </c>
      <c r="F229" s="3">
        <v>2735831</v>
      </c>
      <c r="G229" s="3">
        <v>2798.8</v>
      </c>
      <c r="H229" s="3">
        <v>1128548275</v>
      </c>
    </row>
    <row r="230" spans="1:8" ht="15" customHeight="1" x14ac:dyDescent="0.2">
      <c r="A230" s="9" t="s">
        <v>35</v>
      </c>
      <c r="B230" s="3">
        <v>2.5</v>
      </c>
      <c r="C230" s="3">
        <v>2.5299999999999998</v>
      </c>
      <c r="D230" s="3">
        <v>2.4900000000000002</v>
      </c>
      <c r="E230" s="3">
        <v>2.5</v>
      </c>
      <c r="F230" s="3">
        <v>2470390</v>
      </c>
      <c r="G230" s="3">
        <v>2821.37</v>
      </c>
      <c r="H230" s="3">
        <v>1128548275</v>
      </c>
    </row>
    <row r="231" spans="1:8" ht="15" customHeight="1" x14ac:dyDescent="0.2">
      <c r="A231" s="9" t="s">
        <v>34</v>
      </c>
      <c r="B231" s="3">
        <v>2.5299999999999998</v>
      </c>
      <c r="C231" s="3">
        <v>2.54</v>
      </c>
      <c r="D231" s="3">
        <v>2.4500000000000002</v>
      </c>
      <c r="E231" s="3">
        <v>2.48</v>
      </c>
      <c r="F231" s="3">
        <v>7990298</v>
      </c>
      <c r="G231" s="3">
        <v>2798.8</v>
      </c>
      <c r="H231" s="3">
        <v>1128548275</v>
      </c>
    </row>
    <row r="232" spans="1:8" ht="15" customHeight="1" x14ac:dyDescent="0.2">
      <c r="A232" s="9" t="s">
        <v>33</v>
      </c>
      <c r="B232" s="3">
        <v>2.44</v>
      </c>
      <c r="C232" s="3">
        <v>2.4700000000000002</v>
      </c>
      <c r="D232" s="3">
        <v>2.41</v>
      </c>
      <c r="E232" s="3">
        <v>2.4300000000000002</v>
      </c>
      <c r="F232" s="3">
        <v>2980772</v>
      </c>
      <c r="G232" s="3">
        <v>2742.37</v>
      </c>
      <c r="H232" s="3">
        <v>1128548275</v>
      </c>
    </row>
    <row r="233" spans="1:8" ht="15" customHeight="1" x14ac:dyDescent="0.2">
      <c r="A233" s="9" t="s">
        <v>32</v>
      </c>
      <c r="B233" s="3">
        <v>2.5099999999999998</v>
      </c>
      <c r="C233" s="3">
        <v>2.5550000000000002</v>
      </c>
      <c r="D233" s="3">
        <v>2.5099999999999998</v>
      </c>
      <c r="E233" s="3">
        <v>2.52</v>
      </c>
      <c r="F233" s="3">
        <v>2542109</v>
      </c>
      <c r="G233" s="3">
        <v>2843.94</v>
      </c>
      <c r="H233" s="3">
        <v>1128548275</v>
      </c>
    </row>
    <row r="234" spans="1:8" ht="15" customHeight="1" x14ac:dyDescent="0.2">
      <c r="A234" s="9" t="s">
        <v>31</v>
      </c>
      <c r="B234" s="3">
        <v>2.54</v>
      </c>
      <c r="C234" s="3">
        <v>2.58</v>
      </c>
      <c r="D234" s="3">
        <v>2.52</v>
      </c>
      <c r="E234" s="3">
        <v>2.52</v>
      </c>
      <c r="F234" s="3">
        <v>2182596</v>
      </c>
      <c r="G234" s="3">
        <v>2843.94</v>
      </c>
      <c r="H234" s="3">
        <v>1128548275</v>
      </c>
    </row>
    <row r="235" spans="1:8" ht="15" customHeight="1" x14ac:dyDescent="0.2">
      <c r="A235" s="9" t="s">
        <v>30</v>
      </c>
      <c r="B235" s="3">
        <v>2.52</v>
      </c>
      <c r="C235" s="3">
        <v>2.54</v>
      </c>
      <c r="D235" s="3">
        <v>2.48</v>
      </c>
      <c r="E235" s="3">
        <v>2.5299999999999998</v>
      </c>
      <c r="F235" s="3">
        <v>1871621</v>
      </c>
      <c r="G235" s="3">
        <v>2855.23</v>
      </c>
      <c r="H235" s="3">
        <v>1128548275</v>
      </c>
    </row>
    <row r="236" spans="1:8" ht="15" customHeight="1" x14ac:dyDescent="0.2">
      <c r="A236" s="9" t="s">
        <v>29</v>
      </c>
      <c r="B236" s="3">
        <v>2.5299999999999998</v>
      </c>
      <c r="C236" s="3">
        <v>2.56</v>
      </c>
      <c r="D236" s="3">
        <v>2.4649999999999999</v>
      </c>
      <c r="E236" s="3">
        <v>2.4900000000000002</v>
      </c>
      <c r="F236" s="3">
        <v>1854496</v>
      </c>
      <c r="G236" s="3">
        <v>2810.09</v>
      </c>
      <c r="H236" s="3">
        <v>1128548275</v>
      </c>
    </row>
    <row r="237" spans="1:8" ht="15" customHeight="1" x14ac:dyDescent="0.2">
      <c r="A237" s="9" t="s">
        <v>28</v>
      </c>
      <c r="B237" s="3">
        <v>2.4900000000000002</v>
      </c>
      <c r="C237" s="3">
        <v>2.5</v>
      </c>
      <c r="D237" s="3">
        <v>2.4300000000000002</v>
      </c>
      <c r="E237" s="3">
        <v>2.4300000000000002</v>
      </c>
      <c r="F237" s="3">
        <v>3434680</v>
      </c>
      <c r="G237" s="3">
        <v>2742.37</v>
      </c>
      <c r="H237" s="3">
        <v>1128548275</v>
      </c>
    </row>
    <row r="238" spans="1:8" ht="15" customHeight="1" x14ac:dyDescent="0.2">
      <c r="A238" s="9" t="s">
        <v>27</v>
      </c>
      <c r="B238" s="3">
        <v>2.44</v>
      </c>
      <c r="C238" s="3">
        <v>2.46</v>
      </c>
      <c r="D238" s="3">
        <v>2.4</v>
      </c>
      <c r="E238" s="3">
        <v>2.41</v>
      </c>
      <c r="F238" s="3">
        <v>2193567</v>
      </c>
      <c r="G238" s="3">
        <v>2719.8</v>
      </c>
      <c r="H238" s="3">
        <v>1128548275</v>
      </c>
    </row>
    <row r="239" spans="1:8" ht="15" customHeight="1" x14ac:dyDescent="0.2">
      <c r="A239" s="9" t="s">
        <v>26</v>
      </c>
      <c r="B239" s="3">
        <v>2.4900000000000002</v>
      </c>
      <c r="C239" s="3">
        <v>2.63</v>
      </c>
      <c r="D239" s="3">
        <v>2.4500000000000002</v>
      </c>
      <c r="E239" s="3">
        <v>2.63</v>
      </c>
      <c r="F239" s="3">
        <v>4855019</v>
      </c>
      <c r="G239" s="3">
        <v>2968.08</v>
      </c>
      <c r="H239" s="3">
        <v>1128548275</v>
      </c>
    </row>
    <row r="240" spans="1:8" ht="15" customHeight="1" x14ac:dyDescent="0.2">
      <c r="A240" s="9" t="s">
        <v>25</v>
      </c>
      <c r="B240" s="3">
        <v>2.61</v>
      </c>
      <c r="C240" s="3">
        <v>2.68</v>
      </c>
      <c r="D240" s="3">
        <v>2.57</v>
      </c>
      <c r="E240" s="3">
        <v>2.62</v>
      </c>
      <c r="F240" s="3">
        <v>3017244</v>
      </c>
      <c r="G240" s="3">
        <v>2956.8</v>
      </c>
      <c r="H240" s="3">
        <v>1128548275</v>
      </c>
    </row>
    <row r="241" spans="1:8" ht="15" customHeight="1" x14ac:dyDescent="0.2">
      <c r="A241" s="9" t="s">
        <v>24</v>
      </c>
      <c r="B241" s="3">
        <v>2.59</v>
      </c>
      <c r="C241" s="3">
        <v>2.69</v>
      </c>
      <c r="D241" s="3">
        <v>2.59</v>
      </c>
      <c r="E241" s="3">
        <v>2.67</v>
      </c>
      <c r="F241" s="3">
        <v>1705258</v>
      </c>
      <c r="G241" s="3">
        <v>3013.54</v>
      </c>
      <c r="H241" s="3">
        <v>1128664943</v>
      </c>
    </row>
    <row r="242" spans="1:8" ht="15" customHeight="1" x14ac:dyDescent="0.2">
      <c r="A242" s="9" t="s">
        <v>23</v>
      </c>
      <c r="B242" s="3">
        <v>2.75</v>
      </c>
      <c r="C242" s="3">
        <v>2.8149999999999999</v>
      </c>
      <c r="D242" s="3">
        <v>2.7</v>
      </c>
      <c r="E242" s="3">
        <v>2.74</v>
      </c>
      <c r="F242" s="3">
        <v>3622908</v>
      </c>
      <c r="G242" s="3">
        <v>3092.54</v>
      </c>
      <c r="H242" s="3">
        <v>1128664943</v>
      </c>
    </row>
    <row r="243" spans="1:8" ht="15" customHeight="1" x14ac:dyDescent="0.2">
      <c r="A243" s="9" t="s">
        <v>22</v>
      </c>
      <c r="B243" s="3">
        <v>2.76</v>
      </c>
      <c r="C243" s="3">
        <v>2.8</v>
      </c>
      <c r="D243" s="3">
        <v>2.7349999999999999</v>
      </c>
      <c r="E243" s="3">
        <v>2.77</v>
      </c>
      <c r="F243" s="3">
        <v>2566892</v>
      </c>
      <c r="G243" s="3">
        <v>3126.4</v>
      </c>
      <c r="H243" s="3">
        <v>1128664943</v>
      </c>
    </row>
    <row r="244" spans="1:8" ht="15" customHeight="1" x14ac:dyDescent="0.2">
      <c r="A244" s="9" t="s">
        <v>21</v>
      </c>
      <c r="B244" s="3">
        <v>2.85</v>
      </c>
      <c r="C244" s="3">
        <v>2.85</v>
      </c>
      <c r="D244" s="3">
        <v>2.74</v>
      </c>
      <c r="E244" s="3">
        <v>2.74</v>
      </c>
      <c r="F244" s="3">
        <v>1646526</v>
      </c>
      <c r="G244" s="3">
        <v>3092.54</v>
      </c>
      <c r="H244" s="3">
        <v>1128664943</v>
      </c>
    </row>
    <row r="245" spans="1:8" ht="15" customHeight="1" x14ac:dyDescent="0.2">
      <c r="A245" s="9" t="s">
        <v>20</v>
      </c>
      <c r="B245" s="3">
        <v>2.73</v>
      </c>
      <c r="C245" s="3">
        <v>2.73</v>
      </c>
      <c r="D245" s="3">
        <v>2.66</v>
      </c>
      <c r="E245" s="3">
        <v>2.71</v>
      </c>
      <c r="F245" s="3">
        <v>3944280</v>
      </c>
      <c r="G245" s="3">
        <v>3058.68</v>
      </c>
      <c r="H245" s="3">
        <v>1128664943</v>
      </c>
    </row>
    <row r="246" spans="1:8" ht="15" customHeight="1" x14ac:dyDescent="0.2">
      <c r="A246" s="9" t="s">
        <v>19</v>
      </c>
      <c r="B246" s="3">
        <v>2.66</v>
      </c>
      <c r="C246" s="3">
        <v>2.67</v>
      </c>
      <c r="D246" s="3">
        <v>2.59</v>
      </c>
      <c r="E246" s="3">
        <v>2.61</v>
      </c>
      <c r="F246" s="3">
        <v>2127546</v>
      </c>
      <c r="G246" s="3">
        <v>2945.82</v>
      </c>
      <c r="H246" s="3">
        <v>1128664943</v>
      </c>
    </row>
    <row r="247" spans="1:8" ht="15" customHeight="1" x14ac:dyDescent="0.2">
      <c r="A247" s="9" t="s">
        <v>18</v>
      </c>
      <c r="B247" s="3">
        <v>2.58</v>
      </c>
      <c r="C247" s="3">
        <v>2.64</v>
      </c>
      <c r="D247" s="3">
        <v>2.57</v>
      </c>
      <c r="E247" s="3">
        <v>2.63</v>
      </c>
      <c r="F247" s="3">
        <v>1753132</v>
      </c>
      <c r="G247" s="3">
        <v>2968.39</v>
      </c>
      <c r="H247" s="3">
        <v>1128664943</v>
      </c>
    </row>
    <row r="248" spans="1:8" ht="15" customHeight="1" x14ac:dyDescent="0.2">
      <c r="A248" s="9" t="s">
        <v>17</v>
      </c>
      <c r="B248" s="3">
        <v>2.64</v>
      </c>
      <c r="C248" s="3">
        <v>2.66</v>
      </c>
      <c r="D248" s="3">
        <v>2.58</v>
      </c>
      <c r="E248" s="3">
        <v>2.59</v>
      </c>
      <c r="F248" s="3">
        <v>2262879</v>
      </c>
      <c r="G248" s="3">
        <v>2923.24</v>
      </c>
      <c r="H248" s="3">
        <v>1128664943</v>
      </c>
    </row>
    <row r="249" spans="1:8" ht="15" customHeight="1" x14ac:dyDescent="0.2">
      <c r="A249" s="9" t="s">
        <v>16</v>
      </c>
      <c r="B249" s="3">
        <v>2.4900000000000002</v>
      </c>
      <c r="C249" s="3">
        <v>2.58</v>
      </c>
      <c r="D249" s="3">
        <v>2.48</v>
      </c>
      <c r="E249" s="3">
        <v>2.54</v>
      </c>
      <c r="F249" s="3">
        <v>3592555</v>
      </c>
      <c r="G249" s="3">
        <v>2866.81</v>
      </c>
      <c r="H249" s="3">
        <v>1128664943</v>
      </c>
    </row>
    <row r="250" spans="1:8" ht="15" customHeight="1" x14ac:dyDescent="0.2">
      <c r="A250" s="9" t="s">
        <v>15</v>
      </c>
      <c r="B250" s="3">
        <v>2.5</v>
      </c>
      <c r="C250" s="3">
        <v>2.52</v>
      </c>
      <c r="D250" s="3">
        <v>2.4550000000000001</v>
      </c>
      <c r="E250" s="3">
        <v>2.5</v>
      </c>
      <c r="F250" s="3">
        <v>7772763</v>
      </c>
      <c r="G250" s="3">
        <v>2821.66</v>
      </c>
      <c r="H250" s="3">
        <v>1128664943</v>
      </c>
    </row>
    <row r="251" spans="1:8" ht="15" customHeight="1" x14ac:dyDescent="0.2">
      <c r="A251" s="9" t="s">
        <v>14</v>
      </c>
      <c r="B251" s="3">
        <v>2.5099999999999998</v>
      </c>
      <c r="C251" s="3">
        <v>2.5649999999999999</v>
      </c>
      <c r="D251" s="3">
        <v>2.5</v>
      </c>
      <c r="E251" s="3">
        <v>2.54</v>
      </c>
      <c r="F251" s="3">
        <v>2001513</v>
      </c>
      <c r="G251" s="3">
        <v>2866.81</v>
      </c>
      <c r="H251" s="3">
        <v>1128664943</v>
      </c>
    </row>
    <row r="252" spans="1:8" ht="15" customHeight="1" x14ac:dyDescent="0.2">
      <c r="A252" s="9" t="s">
        <v>13</v>
      </c>
      <c r="B252" s="3">
        <v>2.54</v>
      </c>
      <c r="C252" s="3">
        <v>2.57</v>
      </c>
      <c r="D252" s="3">
        <v>2.5</v>
      </c>
      <c r="E252" s="3">
        <v>2.5299999999999998</v>
      </c>
      <c r="F252" s="3">
        <v>835702</v>
      </c>
      <c r="G252" s="3">
        <v>2855.52</v>
      </c>
      <c r="H252" s="3">
        <v>1128664943</v>
      </c>
    </row>
    <row r="253" spans="1:8" ht="15" customHeight="1" x14ac:dyDescent="0.2">
      <c r="A253" s="9" t="s">
        <v>12</v>
      </c>
      <c r="B253" s="3">
        <v>2.5299999999999998</v>
      </c>
      <c r="C253" s="3">
        <v>2.56</v>
      </c>
      <c r="D253" s="3">
        <v>2.5049999999999999</v>
      </c>
      <c r="E253" s="3">
        <v>2.5499999999999998</v>
      </c>
      <c r="F253" s="3">
        <v>1116586</v>
      </c>
      <c r="G253" s="3">
        <v>2878.1</v>
      </c>
      <c r="H253" s="3">
        <v>1128664943</v>
      </c>
    </row>
    <row r="254" spans="1:8" ht="15" customHeight="1" x14ac:dyDescent="0.2">
      <c r="A254" s="9" t="s">
        <v>11</v>
      </c>
      <c r="B254" s="3">
        <v>2.52</v>
      </c>
      <c r="C254" s="3">
        <v>2.5499999999999998</v>
      </c>
      <c r="D254" s="3">
        <v>2.4900000000000002</v>
      </c>
      <c r="E254" s="3">
        <v>2.52</v>
      </c>
      <c r="F254" s="3">
        <v>1342113</v>
      </c>
      <c r="G254" s="3">
        <v>2844.24</v>
      </c>
      <c r="H254" s="3">
        <v>1128664943</v>
      </c>
    </row>
    <row r="255" spans="1:8" ht="15" customHeight="1" x14ac:dyDescent="0.2">
      <c r="A255" s="9" t="s">
        <v>10</v>
      </c>
      <c r="B255" s="3">
        <v>2.4700000000000002</v>
      </c>
      <c r="C255" s="3">
        <v>2.48</v>
      </c>
      <c r="D255" s="3">
        <v>2.4350000000000001</v>
      </c>
      <c r="E255" s="3">
        <v>2.4700000000000002</v>
      </c>
      <c r="F255" s="3">
        <v>1376432</v>
      </c>
      <c r="G255" s="3">
        <v>2787.8</v>
      </c>
      <c r="H255" s="3">
        <v>1128664943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12004-8320-B04A-ACA3-05E743E781CE}">
  <dimension ref="A1:G255"/>
  <sheetViews>
    <sheetView tabSelected="1" topLeftCell="F8" zoomScale="136" workbookViewId="0">
      <selection activeCell="R17" sqref="R17"/>
    </sheetView>
  </sheetViews>
  <sheetFormatPr baseColWidth="10" defaultRowHeight="16" x14ac:dyDescent="0.2"/>
  <cols>
    <col min="4" max="4" width="12.6640625" bestFit="1" customWidth="1"/>
    <col min="5" max="5" width="21.5" bestFit="1" customWidth="1"/>
    <col min="6" max="6" width="20" customWidth="1"/>
    <col min="7" max="7" width="14.83203125" customWidth="1"/>
  </cols>
  <sheetData>
    <row r="1" spans="1:7" x14ac:dyDescent="0.2">
      <c r="A1" s="8" t="s">
        <v>1</v>
      </c>
      <c r="B1" s="6" t="s">
        <v>2</v>
      </c>
      <c r="C1" s="6" t="s">
        <v>5</v>
      </c>
      <c r="D1" s="1" t="s">
        <v>6</v>
      </c>
      <c r="E1" s="1" t="s">
        <v>7</v>
      </c>
      <c r="F1" s="1" t="s">
        <v>8</v>
      </c>
      <c r="G1" s="1" t="s">
        <v>278</v>
      </c>
    </row>
    <row r="2" spans="1:7" x14ac:dyDescent="0.2">
      <c r="A2" s="9" t="s">
        <v>263</v>
      </c>
      <c r="B2" s="7">
        <v>1.7749999999999999</v>
      </c>
      <c r="C2" s="7">
        <v>1.74</v>
      </c>
      <c r="D2" s="3">
        <v>1691953</v>
      </c>
      <c r="E2" s="3">
        <v>1913.76</v>
      </c>
      <c r="F2" s="3">
        <v>1099862562</v>
      </c>
      <c r="G2" s="18">
        <f>((C2-$C$2)/$C$2)*100</f>
        <v>0</v>
      </c>
    </row>
    <row r="3" spans="1:7" x14ac:dyDescent="0.2">
      <c r="A3" s="9" t="s">
        <v>262</v>
      </c>
      <c r="B3" s="7">
        <v>1.7050000000000001</v>
      </c>
      <c r="C3" s="7">
        <v>1.69</v>
      </c>
      <c r="D3" s="3">
        <v>2158486</v>
      </c>
      <c r="E3" s="3">
        <v>1858.77</v>
      </c>
      <c r="F3" s="3">
        <v>1099862562</v>
      </c>
      <c r="G3" s="18">
        <f t="shared" ref="G3:G66" si="0">((C3-$C$2)/$C$2)*100</f>
        <v>-2.8735632183908075</v>
      </c>
    </row>
    <row r="4" spans="1:7" x14ac:dyDescent="0.2">
      <c r="A4" s="9" t="s">
        <v>261</v>
      </c>
      <c r="B4" s="7">
        <v>1.66</v>
      </c>
      <c r="C4" s="7">
        <v>1.625</v>
      </c>
      <c r="D4" s="3">
        <v>4297585</v>
      </c>
      <c r="E4" s="3">
        <v>1787.28</v>
      </c>
      <c r="F4" s="3">
        <v>1099862562</v>
      </c>
      <c r="G4" s="18">
        <f t="shared" si="0"/>
        <v>-6.6091954022988491</v>
      </c>
    </row>
    <row r="5" spans="1:7" x14ac:dyDescent="0.2">
      <c r="A5" s="9" t="s">
        <v>260</v>
      </c>
      <c r="B5" s="7">
        <v>1.645</v>
      </c>
      <c r="C5" s="7">
        <v>1.625</v>
      </c>
      <c r="D5" s="3">
        <v>2078349</v>
      </c>
      <c r="E5" s="3">
        <v>1787.28</v>
      </c>
      <c r="F5" s="3">
        <v>1099862562</v>
      </c>
      <c r="G5" s="18">
        <f t="shared" si="0"/>
        <v>-6.6091954022988491</v>
      </c>
    </row>
    <row r="6" spans="1:7" x14ac:dyDescent="0.2">
      <c r="A6" s="9" t="s">
        <v>259</v>
      </c>
      <c r="B6" s="7">
        <v>1.615</v>
      </c>
      <c r="C6" s="7">
        <v>1.63</v>
      </c>
      <c r="D6" s="3">
        <v>2400388</v>
      </c>
      <c r="E6" s="3">
        <v>1792.78</v>
      </c>
      <c r="F6" s="3">
        <v>1099862562</v>
      </c>
      <c r="G6" s="18">
        <f t="shared" si="0"/>
        <v>-6.3218390804597764</v>
      </c>
    </row>
    <row r="7" spans="1:7" x14ac:dyDescent="0.2">
      <c r="A7" s="9" t="s">
        <v>258</v>
      </c>
      <c r="B7" s="7">
        <v>1.64</v>
      </c>
      <c r="C7" s="7">
        <v>1.605</v>
      </c>
      <c r="D7" s="3">
        <v>2406963</v>
      </c>
      <c r="E7" s="3">
        <v>1765.28</v>
      </c>
      <c r="F7" s="3">
        <v>1099862562</v>
      </c>
      <c r="G7" s="18">
        <f t="shared" si="0"/>
        <v>-7.7586206896551726</v>
      </c>
    </row>
    <row r="8" spans="1:7" x14ac:dyDescent="0.2">
      <c r="A8" s="9" t="s">
        <v>257</v>
      </c>
      <c r="B8" s="7">
        <v>1.6</v>
      </c>
      <c r="C8" s="7">
        <v>1.59</v>
      </c>
      <c r="D8" s="3">
        <v>1291516</v>
      </c>
      <c r="E8" s="3">
        <v>1748.78</v>
      </c>
      <c r="F8" s="3">
        <v>1099862562</v>
      </c>
      <c r="G8" s="18">
        <f t="shared" si="0"/>
        <v>-8.6206896551724093</v>
      </c>
    </row>
    <row r="9" spans="1:7" x14ac:dyDescent="0.2">
      <c r="A9" s="9" t="s">
        <v>256</v>
      </c>
      <c r="B9" s="7">
        <v>1.585</v>
      </c>
      <c r="C9" s="7">
        <v>1.615</v>
      </c>
      <c r="D9" s="3">
        <v>2849643</v>
      </c>
      <c r="E9" s="3">
        <v>1776.28</v>
      </c>
      <c r="F9" s="3">
        <v>1099862562</v>
      </c>
      <c r="G9" s="18">
        <f t="shared" si="0"/>
        <v>-7.1839080459770113</v>
      </c>
    </row>
    <row r="10" spans="1:7" x14ac:dyDescent="0.2">
      <c r="A10" s="9" t="s">
        <v>255</v>
      </c>
      <c r="B10" s="7">
        <v>1.6</v>
      </c>
      <c r="C10" s="7">
        <v>1.62</v>
      </c>
      <c r="D10" s="3">
        <v>3232746</v>
      </c>
      <c r="E10" s="3">
        <v>1781.78</v>
      </c>
      <c r="F10" s="3">
        <v>1099862562</v>
      </c>
      <c r="G10" s="18">
        <f t="shared" si="0"/>
        <v>-6.8965517241379244</v>
      </c>
    </row>
    <row r="11" spans="1:7" x14ac:dyDescent="0.2">
      <c r="A11" s="9" t="s">
        <v>254</v>
      </c>
      <c r="B11" s="7">
        <v>1.635</v>
      </c>
      <c r="C11" s="7">
        <v>1.64</v>
      </c>
      <c r="D11" s="3">
        <v>1598296</v>
      </c>
      <c r="E11" s="3">
        <v>1803.77</v>
      </c>
      <c r="F11" s="3">
        <v>1099862562</v>
      </c>
      <c r="G11" s="18">
        <f t="shared" si="0"/>
        <v>-5.7471264367816151</v>
      </c>
    </row>
    <row r="12" spans="1:7" x14ac:dyDescent="0.2">
      <c r="A12" s="9" t="s">
        <v>253</v>
      </c>
      <c r="B12" s="7">
        <v>1.63</v>
      </c>
      <c r="C12" s="7">
        <v>1.65</v>
      </c>
      <c r="D12" s="3">
        <v>2079745</v>
      </c>
      <c r="E12" s="3">
        <v>1814.77</v>
      </c>
      <c r="F12" s="3">
        <v>1099862562</v>
      </c>
      <c r="G12" s="18">
        <f t="shared" si="0"/>
        <v>-5.1724137931034528</v>
      </c>
    </row>
    <row r="13" spans="1:7" x14ac:dyDescent="0.2">
      <c r="A13" s="9" t="s">
        <v>252</v>
      </c>
      <c r="B13" s="7">
        <v>1.6</v>
      </c>
      <c r="C13" s="7">
        <v>1.62</v>
      </c>
      <c r="D13" s="3">
        <v>2819960</v>
      </c>
      <c r="E13" s="3">
        <v>1781.78</v>
      </c>
      <c r="F13" s="3">
        <v>1099862562</v>
      </c>
      <c r="G13" s="18">
        <f t="shared" si="0"/>
        <v>-6.8965517241379244</v>
      </c>
    </row>
    <row r="14" spans="1:7" x14ac:dyDescent="0.2">
      <c r="A14" s="9" t="s">
        <v>251</v>
      </c>
      <c r="B14" s="7">
        <v>1.58</v>
      </c>
      <c r="C14" s="7">
        <v>1.59</v>
      </c>
      <c r="D14" s="3">
        <v>2256374</v>
      </c>
      <c r="E14" s="3">
        <v>1748.78</v>
      </c>
      <c r="F14" s="3">
        <v>1099862562</v>
      </c>
      <c r="G14" s="18">
        <f t="shared" si="0"/>
        <v>-8.6206896551724093</v>
      </c>
    </row>
    <row r="15" spans="1:7" x14ac:dyDescent="0.2">
      <c r="A15" s="9" t="s">
        <v>250</v>
      </c>
      <c r="B15" s="7">
        <v>1.62</v>
      </c>
      <c r="C15" s="7">
        <v>1.605</v>
      </c>
      <c r="D15" s="3">
        <v>1678880</v>
      </c>
      <c r="E15" s="3">
        <v>1765.28</v>
      </c>
      <c r="F15" s="3">
        <v>1099862562</v>
      </c>
      <c r="G15" s="18">
        <f t="shared" si="0"/>
        <v>-7.7586206896551726</v>
      </c>
    </row>
    <row r="16" spans="1:7" x14ac:dyDescent="0.2">
      <c r="A16" s="9" t="s">
        <v>249</v>
      </c>
      <c r="B16" s="7">
        <v>1.61</v>
      </c>
      <c r="C16" s="7">
        <v>1.605</v>
      </c>
      <c r="D16" s="3">
        <v>1900865</v>
      </c>
      <c r="E16" s="3">
        <v>1765.28</v>
      </c>
      <c r="F16" s="3">
        <v>1099862562</v>
      </c>
      <c r="G16" s="18">
        <f t="shared" si="0"/>
        <v>-7.7586206896551726</v>
      </c>
    </row>
    <row r="17" spans="1:7" x14ac:dyDescent="0.2">
      <c r="A17" s="9" t="s">
        <v>248</v>
      </c>
      <c r="B17" s="7">
        <v>1.61</v>
      </c>
      <c r="C17" s="7">
        <v>1.53</v>
      </c>
      <c r="D17" s="3">
        <v>2114082</v>
      </c>
      <c r="E17" s="3">
        <v>1682.79</v>
      </c>
      <c r="F17" s="3">
        <v>1099862562</v>
      </c>
      <c r="G17" s="18">
        <f t="shared" si="0"/>
        <v>-12.068965517241377</v>
      </c>
    </row>
    <row r="18" spans="1:7" x14ac:dyDescent="0.2">
      <c r="A18" s="9" t="s">
        <v>247</v>
      </c>
      <c r="B18" s="7">
        <v>1.54</v>
      </c>
      <c r="C18" s="7">
        <v>1.585</v>
      </c>
      <c r="D18" s="3">
        <v>4654978</v>
      </c>
      <c r="E18" s="3">
        <v>1743.28</v>
      </c>
      <c r="F18" s="3">
        <v>1099862562</v>
      </c>
      <c r="G18" s="18">
        <f t="shared" si="0"/>
        <v>-8.9080459770114953</v>
      </c>
    </row>
    <row r="19" spans="1:7" x14ac:dyDescent="0.2">
      <c r="A19" s="9" t="s">
        <v>246</v>
      </c>
      <c r="B19" s="7">
        <v>1.585</v>
      </c>
      <c r="C19" s="7">
        <v>1.5649999999999999</v>
      </c>
      <c r="D19" s="3">
        <v>2058873</v>
      </c>
      <c r="E19" s="3">
        <v>1721.28</v>
      </c>
      <c r="F19" s="3">
        <v>1099862562</v>
      </c>
      <c r="G19" s="18">
        <f t="shared" si="0"/>
        <v>-10.05747126436782</v>
      </c>
    </row>
    <row r="20" spans="1:7" x14ac:dyDescent="0.2">
      <c r="A20" s="9" t="s">
        <v>245</v>
      </c>
      <c r="B20" s="7">
        <v>1.5449999999999999</v>
      </c>
      <c r="C20" s="7">
        <v>1.5549999999999999</v>
      </c>
      <c r="D20" s="3">
        <v>4010051</v>
      </c>
      <c r="E20" s="3">
        <v>1710.29</v>
      </c>
      <c r="F20" s="3">
        <v>1099862562</v>
      </c>
      <c r="G20" s="18">
        <f t="shared" si="0"/>
        <v>-10.632183908045981</v>
      </c>
    </row>
    <row r="21" spans="1:7" x14ac:dyDescent="0.2">
      <c r="A21" s="9" t="s">
        <v>244</v>
      </c>
      <c r="B21" s="7">
        <v>1.5649999999999999</v>
      </c>
      <c r="C21" s="7">
        <v>1.6</v>
      </c>
      <c r="D21" s="3">
        <v>2171692</v>
      </c>
      <c r="E21" s="3">
        <v>1759.78</v>
      </c>
      <c r="F21" s="3">
        <v>1099862562</v>
      </c>
      <c r="G21" s="18">
        <f t="shared" si="0"/>
        <v>-8.0459770114942479</v>
      </c>
    </row>
    <row r="22" spans="1:7" x14ac:dyDescent="0.2">
      <c r="A22" s="9" t="s">
        <v>243</v>
      </c>
      <c r="B22" s="7">
        <v>1.59</v>
      </c>
      <c r="C22" s="7">
        <v>1.625</v>
      </c>
      <c r="D22" s="3">
        <v>2709345</v>
      </c>
      <c r="E22" s="3">
        <v>1787.28</v>
      </c>
      <c r="F22" s="3">
        <v>1099862562</v>
      </c>
      <c r="G22" s="18">
        <f t="shared" si="0"/>
        <v>-6.6091954022988491</v>
      </c>
    </row>
    <row r="23" spans="1:7" x14ac:dyDescent="0.2">
      <c r="A23" s="9" t="s">
        <v>242</v>
      </c>
      <c r="B23" s="7">
        <v>1.6</v>
      </c>
      <c r="C23" s="7">
        <v>1.605</v>
      </c>
      <c r="D23" s="3">
        <v>2991972</v>
      </c>
      <c r="E23" s="3">
        <v>1765.28</v>
      </c>
      <c r="F23" s="3">
        <v>1099862562</v>
      </c>
      <c r="G23" s="18">
        <f t="shared" si="0"/>
        <v>-7.7586206896551726</v>
      </c>
    </row>
    <row r="24" spans="1:7" x14ac:dyDescent="0.2">
      <c r="A24" s="9" t="s">
        <v>241</v>
      </c>
      <c r="B24" s="7">
        <v>1.66</v>
      </c>
      <c r="C24" s="7">
        <v>1.6950000000000001</v>
      </c>
      <c r="D24" s="3">
        <v>4467327</v>
      </c>
      <c r="E24" s="3">
        <v>1864.27</v>
      </c>
      <c r="F24" s="3">
        <v>1099862562</v>
      </c>
      <c r="G24" s="18">
        <f t="shared" si="0"/>
        <v>-2.5862068965517198</v>
      </c>
    </row>
    <row r="25" spans="1:7" x14ac:dyDescent="0.2">
      <c r="A25" s="9" t="s">
        <v>240</v>
      </c>
      <c r="B25" s="7">
        <v>1.645</v>
      </c>
      <c r="C25" s="7">
        <v>1.605</v>
      </c>
      <c r="D25" s="3">
        <v>4138295</v>
      </c>
      <c r="E25" s="3">
        <v>1765.28</v>
      </c>
      <c r="F25" s="3">
        <v>1099862562</v>
      </c>
      <c r="G25" s="18">
        <f t="shared" si="0"/>
        <v>-7.7586206896551726</v>
      </c>
    </row>
    <row r="26" spans="1:7" x14ac:dyDescent="0.2">
      <c r="A26" s="9" t="s">
        <v>239</v>
      </c>
      <c r="B26" s="7">
        <v>1.6</v>
      </c>
      <c r="C26" s="7">
        <v>1.585</v>
      </c>
      <c r="D26" s="3">
        <v>2861264</v>
      </c>
      <c r="E26" s="3">
        <v>1743.28</v>
      </c>
      <c r="F26" s="3">
        <v>1099862562</v>
      </c>
      <c r="G26" s="18">
        <f t="shared" si="0"/>
        <v>-8.9080459770114953</v>
      </c>
    </row>
    <row r="27" spans="1:7" x14ac:dyDescent="0.2">
      <c r="A27" s="9" t="s">
        <v>238</v>
      </c>
      <c r="B27" s="7">
        <v>1.6</v>
      </c>
      <c r="C27" s="7">
        <v>1.605</v>
      </c>
      <c r="D27" s="3">
        <v>1507183</v>
      </c>
      <c r="E27" s="3">
        <v>1765.28</v>
      </c>
      <c r="F27" s="3">
        <v>1099862562</v>
      </c>
      <c r="G27" s="18">
        <f t="shared" si="0"/>
        <v>-7.7586206896551726</v>
      </c>
    </row>
    <row r="28" spans="1:7" x14ac:dyDescent="0.2">
      <c r="A28" s="9" t="s">
        <v>237</v>
      </c>
      <c r="B28" s="7">
        <v>1.605</v>
      </c>
      <c r="C28" s="7">
        <v>1.61</v>
      </c>
      <c r="D28" s="3">
        <v>2253562</v>
      </c>
      <c r="E28" s="3">
        <v>1770.78</v>
      </c>
      <c r="F28" s="3">
        <v>1099862562</v>
      </c>
      <c r="G28" s="18">
        <f t="shared" si="0"/>
        <v>-7.4712643678160857</v>
      </c>
    </row>
    <row r="29" spans="1:7" x14ac:dyDescent="0.2">
      <c r="A29" s="9" t="s">
        <v>236</v>
      </c>
      <c r="B29" s="7">
        <v>1.6</v>
      </c>
      <c r="C29" s="7">
        <v>1.56</v>
      </c>
      <c r="D29" s="3">
        <v>2033747</v>
      </c>
      <c r="E29" s="3">
        <v>1749.98</v>
      </c>
      <c r="F29" s="3">
        <v>1121780094</v>
      </c>
      <c r="G29" s="18">
        <f t="shared" si="0"/>
        <v>-10.344827586206893</v>
      </c>
    </row>
    <row r="30" spans="1:7" x14ac:dyDescent="0.2">
      <c r="A30" s="9" t="s">
        <v>235</v>
      </c>
      <c r="B30" s="7">
        <v>1.585</v>
      </c>
      <c r="C30" s="7">
        <v>1.54</v>
      </c>
      <c r="D30" s="3">
        <v>1047305</v>
      </c>
      <c r="E30" s="3">
        <v>1727.54</v>
      </c>
      <c r="F30" s="3">
        <v>1121780094</v>
      </c>
      <c r="G30" s="18">
        <f t="shared" si="0"/>
        <v>-11.494252873563216</v>
      </c>
    </row>
    <row r="31" spans="1:7" x14ac:dyDescent="0.2">
      <c r="A31" s="9" t="s">
        <v>234</v>
      </c>
      <c r="B31" s="7">
        <v>1.5649999999999999</v>
      </c>
      <c r="C31" s="7">
        <v>1.57</v>
      </c>
      <c r="D31" s="3">
        <v>1872213</v>
      </c>
      <c r="E31" s="3">
        <v>1761.19</v>
      </c>
      <c r="F31" s="3">
        <v>1121780094</v>
      </c>
      <c r="G31" s="18">
        <f t="shared" si="0"/>
        <v>-9.7701149425287319</v>
      </c>
    </row>
    <row r="32" spans="1:7" x14ac:dyDescent="0.2">
      <c r="A32" s="9" t="s">
        <v>233</v>
      </c>
      <c r="B32" s="7">
        <v>1.51</v>
      </c>
      <c r="C32" s="7">
        <v>1.52</v>
      </c>
      <c r="D32" s="3">
        <v>2758420</v>
      </c>
      <c r="E32" s="3">
        <v>1705.11</v>
      </c>
      <c r="F32" s="3">
        <v>1121780094</v>
      </c>
      <c r="G32" s="18">
        <f t="shared" si="0"/>
        <v>-12.643678160919539</v>
      </c>
    </row>
    <row r="33" spans="1:7" x14ac:dyDescent="0.2">
      <c r="A33" s="9" t="s">
        <v>232</v>
      </c>
      <c r="B33" s="7">
        <v>1.5149999999999999</v>
      </c>
      <c r="C33" s="7">
        <v>1.5049999999999999</v>
      </c>
      <c r="D33" s="3">
        <v>3018443</v>
      </c>
      <c r="E33" s="3">
        <v>1688.28</v>
      </c>
      <c r="F33" s="3">
        <v>1121780094</v>
      </c>
      <c r="G33" s="18">
        <f t="shared" si="0"/>
        <v>-13.505747126436788</v>
      </c>
    </row>
    <row r="34" spans="1:7" x14ac:dyDescent="0.2">
      <c r="A34" s="9" t="s">
        <v>231</v>
      </c>
      <c r="B34" s="7">
        <v>1.55</v>
      </c>
      <c r="C34" s="7">
        <v>1.5249999999999999</v>
      </c>
      <c r="D34" s="3">
        <v>2049513</v>
      </c>
      <c r="E34" s="3">
        <v>1710.71</v>
      </c>
      <c r="F34" s="3">
        <v>1121780094</v>
      </c>
      <c r="G34" s="18">
        <f t="shared" si="0"/>
        <v>-12.356321839080465</v>
      </c>
    </row>
    <row r="35" spans="1:7" x14ac:dyDescent="0.2">
      <c r="A35" s="9" t="s">
        <v>230</v>
      </c>
      <c r="B35" s="7">
        <v>1.5249999999999999</v>
      </c>
      <c r="C35" s="7">
        <v>1.5249999999999999</v>
      </c>
      <c r="D35" s="3">
        <v>1991462</v>
      </c>
      <c r="E35" s="3">
        <v>1710.71</v>
      </c>
      <c r="F35" s="3">
        <v>1121780094</v>
      </c>
      <c r="G35" s="18">
        <f t="shared" si="0"/>
        <v>-12.356321839080465</v>
      </c>
    </row>
    <row r="36" spans="1:7" x14ac:dyDescent="0.2">
      <c r="A36" s="9" t="s">
        <v>229</v>
      </c>
      <c r="B36" s="7">
        <v>1.53</v>
      </c>
      <c r="C36" s="7">
        <v>1.54</v>
      </c>
      <c r="D36" s="3">
        <v>1701695</v>
      </c>
      <c r="E36" s="3">
        <v>1727.54</v>
      </c>
      <c r="F36" s="3">
        <v>1121780094</v>
      </c>
      <c r="G36" s="18">
        <f t="shared" si="0"/>
        <v>-11.494252873563216</v>
      </c>
    </row>
    <row r="37" spans="1:7" x14ac:dyDescent="0.2">
      <c r="A37" s="9" t="s">
        <v>228</v>
      </c>
      <c r="B37" s="7">
        <v>1.5549999999999999</v>
      </c>
      <c r="C37" s="7">
        <v>1.5649999999999999</v>
      </c>
      <c r="D37" s="3">
        <v>3085938</v>
      </c>
      <c r="E37" s="3">
        <v>1755.59</v>
      </c>
      <c r="F37" s="3">
        <v>1121780094</v>
      </c>
      <c r="G37" s="18">
        <f t="shared" si="0"/>
        <v>-10.05747126436782</v>
      </c>
    </row>
    <row r="38" spans="1:7" x14ac:dyDescent="0.2">
      <c r="A38" s="9" t="s">
        <v>227</v>
      </c>
      <c r="B38" s="7">
        <v>1.55</v>
      </c>
      <c r="C38" s="7">
        <v>1.5549999999999999</v>
      </c>
      <c r="D38" s="3">
        <v>1506630</v>
      </c>
      <c r="E38" s="3">
        <v>1744.37</v>
      </c>
      <c r="F38" s="3">
        <v>1121780094</v>
      </c>
      <c r="G38" s="18">
        <f t="shared" si="0"/>
        <v>-10.632183908045981</v>
      </c>
    </row>
    <row r="39" spans="1:7" x14ac:dyDescent="0.2">
      <c r="A39" s="9" t="s">
        <v>226</v>
      </c>
      <c r="B39" s="7">
        <v>1.54</v>
      </c>
      <c r="C39" s="7">
        <v>1.56</v>
      </c>
      <c r="D39" s="3">
        <v>1020411</v>
      </c>
      <c r="E39" s="3">
        <v>1749.98</v>
      </c>
      <c r="F39" s="3">
        <v>1121780094</v>
      </c>
      <c r="G39" s="18">
        <f t="shared" si="0"/>
        <v>-10.344827586206893</v>
      </c>
    </row>
    <row r="40" spans="1:7" x14ac:dyDescent="0.2">
      <c r="A40" s="9" t="s">
        <v>225</v>
      </c>
      <c r="B40" s="7">
        <v>1.59</v>
      </c>
      <c r="C40" s="7">
        <v>1.61</v>
      </c>
      <c r="D40" s="3">
        <v>1607070</v>
      </c>
      <c r="E40" s="3">
        <v>1806.31</v>
      </c>
      <c r="F40" s="3">
        <v>1121933336</v>
      </c>
      <c r="G40" s="18">
        <f t="shared" si="0"/>
        <v>-7.4712643678160857</v>
      </c>
    </row>
    <row r="41" spans="1:7" x14ac:dyDescent="0.2">
      <c r="A41" s="9" t="s">
        <v>224</v>
      </c>
      <c r="B41" s="7">
        <v>1.59</v>
      </c>
      <c r="C41" s="7">
        <v>1.57</v>
      </c>
      <c r="D41" s="3">
        <v>3124151</v>
      </c>
      <c r="E41" s="3">
        <v>1761.44</v>
      </c>
      <c r="F41" s="3">
        <v>1121933336</v>
      </c>
      <c r="G41" s="18">
        <f t="shared" si="0"/>
        <v>-9.7701149425287319</v>
      </c>
    </row>
    <row r="42" spans="1:7" x14ac:dyDescent="0.2">
      <c r="A42" s="9" t="s">
        <v>223</v>
      </c>
      <c r="B42" s="7">
        <v>1.59</v>
      </c>
      <c r="C42" s="7">
        <v>1.575</v>
      </c>
      <c r="D42" s="3">
        <v>2456865</v>
      </c>
      <c r="E42" s="3">
        <v>1767.05</v>
      </c>
      <c r="F42" s="3">
        <v>1121933336</v>
      </c>
      <c r="G42" s="18">
        <f t="shared" si="0"/>
        <v>-9.4827586206896584</v>
      </c>
    </row>
    <row r="43" spans="1:7" x14ac:dyDescent="0.2">
      <c r="A43" s="9" t="s">
        <v>222</v>
      </c>
      <c r="B43" s="7">
        <v>1.57</v>
      </c>
      <c r="C43" s="7">
        <v>1.53</v>
      </c>
      <c r="D43" s="3">
        <v>7744766</v>
      </c>
      <c r="E43" s="3">
        <v>1716.56</v>
      </c>
      <c r="F43" s="3">
        <v>1121933336</v>
      </c>
      <c r="G43" s="18">
        <f t="shared" si="0"/>
        <v>-12.068965517241377</v>
      </c>
    </row>
    <row r="44" spans="1:7" x14ac:dyDescent="0.2">
      <c r="A44" s="9" t="s">
        <v>221</v>
      </c>
      <c r="B44" s="7">
        <v>1.5449999999999999</v>
      </c>
      <c r="C44" s="7">
        <v>1.58</v>
      </c>
      <c r="D44" s="3">
        <v>4120456</v>
      </c>
      <c r="E44" s="3">
        <v>1772.65</v>
      </c>
      <c r="F44" s="3">
        <v>1121933336</v>
      </c>
      <c r="G44" s="18">
        <f t="shared" si="0"/>
        <v>-9.1954022988505706</v>
      </c>
    </row>
    <row r="45" spans="1:7" x14ac:dyDescent="0.2">
      <c r="A45" s="9" t="s">
        <v>220</v>
      </c>
      <c r="B45" s="7">
        <v>1.625</v>
      </c>
      <c r="C45" s="7">
        <v>1.7</v>
      </c>
      <c r="D45" s="3">
        <v>4861599</v>
      </c>
      <c r="E45" s="3">
        <v>1907.29</v>
      </c>
      <c r="F45" s="3">
        <v>1121933336</v>
      </c>
      <c r="G45" s="18">
        <f t="shared" si="0"/>
        <v>-2.2988505747126458</v>
      </c>
    </row>
    <row r="46" spans="1:7" x14ac:dyDescent="0.2">
      <c r="A46" s="9" t="s">
        <v>219</v>
      </c>
      <c r="B46" s="7">
        <v>1.7450000000000001</v>
      </c>
      <c r="C46" s="7">
        <v>1.825</v>
      </c>
      <c r="D46" s="3">
        <v>9633247</v>
      </c>
      <c r="E46" s="3">
        <v>2047.53</v>
      </c>
      <c r="F46" s="3">
        <v>1121933336</v>
      </c>
      <c r="G46" s="18">
        <f t="shared" si="0"/>
        <v>4.885057471264366</v>
      </c>
    </row>
    <row r="47" spans="1:7" x14ac:dyDescent="0.2">
      <c r="A47" s="9" t="s">
        <v>218</v>
      </c>
      <c r="B47" s="7">
        <v>1.82</v>
      </c>
      <c r="C47" s="7">
        <v>1.855</v>
      </c>
      <c r="D47" s="3">
        <v>7716550</v>
      </c>
      <c r="E47" s="3">
        <v>2081.19</v>
      </c>
      <c r="F47" s="3">
        <v>1121933336</v>
      </c>
      <c r="G47" s="18">
        <f t="shared" si="0"/>
        <v>6.6091954022988491</v>
      </c>
    </row>
    <row r="48" spans="1:7" x14ac:dyDescent="0.2">
      <c r="A48" s="9" t="s">
        <v>217</v>
      </c>
      <c r="B48" s="7">
        <v>1.875</v>
      </c>
      <c r="C48" s="7">
        <v>1.917</v>
      </c>
      <c r="D48" s="3">
        <v>5796370</v>
      </c>
      <c r="E48" s="3">
        <v>2151.31</v>
      </c>
      <c r="F48" s="3">
        <v>1121933336</v>
      </c>
      <c r="G48" s="18">
        <f t="shared" si="0"/>
        <v>10.17241379310345</v>
      </c>
    </row>
    <row r="49" spans="1:7" x14ac:dyDescent="0.2">
      <c r="A49" s="9" t="s">
        <v>216</v>
      </c>
      <c r="B49" s="7">
        <v>1.915</v>
      </c>
      <c r="C49" s="7">
        <v>1.86</v>
      </c>
      <c r="D49" s="3">
        <v>9841987</v>
      </c>
      <c r="E49" s="3">
        <v>2086.8000000000002</v>
      </c>
      <c r="F49" s="3">
        <v>1121933336</v>
      </c>
      <c r="G49" s="18">
        <f t="shared" si="0"/>
        <v>6.8965517241379377</v>
      </c>
    </row>
    <row r="50" spans="1:7" x14ac:dyDescent="0.2">
      <c r="A50" s="9" t="s">
        <v>215</v>
      </c>
      <c r="B50" s="7">
        <v>1.88</v>
      </c>
      <c r="C50" s="7">
        <v>1.87</v>
      </c>
      <c r="D50" s="3">
        <v>3768559</v>
      </c>
      <c r="E50" s="3">
        <v>2098.02</v>
      </c>
      <c r="F50" s="3">
        <v>1121933336</v>
      </c>
      <c r="G50" s="18">
        <f t="shared" si="0"/>
        <v>7.4712643678160982</v>
      </c>
    </row>
    <row r="51" spans="1:7" x14ac:dyDescent="0.2">
      <c r="A51" s="9" t="s">
        <v>214</v>
      </c>
      <c r="B51" s="7">
        <v>1.885</v>
      </c>
      <c r="C51" s="7">
        <v>1.895</v>
      </c>
      <c r="D51" s="3">
        <v>2929826</v>
      </c>
      <c r="E51" s="3">
        <v>2126.06</v>
      </c>
      <c r="F51" s="3">
        <v>1121933336</v>
      </c>
      <c r="G51" s="18">
        <f t="shared" si="0"/>
        <v>8.9080459770114953</v>
      </c>
    </row>
    <row r="52" spans="1:7" x14ac:dyDescent="0.2">
      <c r="A52" s="9" t="s">
        <v>213</v>
      </c>
      <c r="B52" s="7">
        <v>1.89</v>
      </c>
      <c r="C52" s="7">
        <v>1.89</v>
      </c>
      <c r="D52" s="3">
        <v>4131043</v>
      </c>
      <c r="E52" s="3">
        <v>2120.4499999999998</v>
      </c>
      <c r="F52" s="3">
        <v>1121933336</v>
      </c>
      <c r="G52" s="18">
        <f t="shared" si="0"/>
        <v>8.6206896551724093</v>
      </c>
    </row>
    <row r="53" spans="1:7" x14ac:dyDescent="0.2">
      <c r="A53" s="9" t="s">
        <v>212</v>
      </c>
      <c r="B53" s="7">
        <v>1.915</v>
      </c>
      <c r="C53" s="7">
        <v>1.895</v>
      </c>
      <c r="D53" s="3">
        <v>9945560</v>
      </c>
      <c r="E53" s="3">
        <v>2126.06</v>
      </c>
      <c r="F53" s="3">
        <v>1121933336</v>
      </c>
      <c r="G53" s="18">
        <f t="shared" si="0"/>
        <v>8.9080459770114953</v>
      </c>
    </row>
    <row r="54" spans="1:7" x14ac:dyDescent="0.2">
      <c r="A54" s="9" t="s">
        <v>211</v>
      </c>
      <c r="B54" s="7">
        <v>1.89</v>
      </c>
      <c r="C54" s="7">
        <v>1.92</v>
      </c>
      <c r="D54" s="3">
        <v>17964285</v>
      </c>
      <c r="E54" s="3">
        <v>2154.11</v>
      </c>
      <c r="F54" s="3">
        <v>1121933336</v>
      </c>
      <c r="G54" s="18">
        <f t="shared" si="0"/>
        <v>10.344827586206893</v>
      </c>
    </row>
    <row r="55" spans="1:7" x14ac:dyDescent="0.2">
      <c r="A55" s="9" t="s">
        <v>210</v>
      </c>
      <c r="B55" s="7">
        <v>1.91</v>
      </c>
      <c r="C55" s="7">
        <v>1.865</v>
      </c>
      <c r="D55" s="3">
        <v>2919565</v>
      </c>
      <c r="E55" s="3">
        <v>2092.41</v>
      </c>
      <c r="F55" s="3">
        <v>1121933336</v>
      </c>
      <c r="G55" s="18">
        <f t="shared" si="0"/>
        <v>7.1839080459770113</v>
      </c>
    </row>
    <row r="56" spans="1:7" x14ac:dyDescent="0.2">
      <c r="A56" s="9" t="s">
        <v>209</v>
      </c>
      <c r="B56" s="7">
        <v>1.895</v>
      </c>
      <c r="C56" s="7">
        <v>1.885</v>
      </c>
      <c r="D56" s="3">
        <v>2593069</v>
      </c>
      <c r="E56" s="3">
        <v>2114.84</v>
      </c>
      <c r="F56" s="3">
        <v>1121933336</v>
      </c>
      <c r="G56" s="18">
        <f t="shared" si="0"/>
        <v>8.3333333333333339</v>
      </c>
    </row>
    <row r="57" spans="1:7" x14ac:dyDescent="0.2">
      <c r="A57" s="9" t="s">
        <v>208</v>
      </c>
      <c r="B57" s="7">
        <v>1.885</v>
      </c>
      <c r="C57" s="7">
        <v>1.88</v>
      </c>
      <c r="D57" s="3">
        <v>2415019</v>
      </c>
      <c r="E57" s="3">
        <v>2109.23</v>
      </c>
      <c r="F57" s="3">
        <v>1121933336</v>
      </c>
      <c r="G57" s="18">
        <f t="shared" si="0"/>
        <v>8.0459770114942479</v>
      </c>
    </row>
    <row r="58" spans="1:7" x14ac:dyDescent="0.2">
      <c r="A58" s="9" t="s">
        <v>207</v>
      </c>
      <c r="B58" s="7">
        <v>1.94</v>
      </c>
      <c r="C58" s="7">
        <v>1.92</v>
      </c>
      <c r="D58" s="3">
        <v>6933544</v>
      </c>
      <c r="E58" s="3">
        <v>2154.11</v>
      </c>
      <c r="F58" s="3">
        <v>1121933336</v>
      </c>
      <c r="G58" s="18">
        <f t="shared" si="0"/>
        <v>10.344827586206893</v>
      </c>
    </row>
    <row r="59" spans="1:7" x14ac:dyDescent="0.2">
      <c r="A59" s="9" t="s">
        <v>206</v>
      </c>
      <c r="B59" s="7">
        <v>1.82</v>
      </c>
      <c r="C59" s="7">
        <v>1.8</v>
      </c>
      <c r="D59" s="3">
        <v>10360999</v>
      </c>
      <c r="E59" s="3">
        <v>2019.48</v>
      </c>
      <c r="F59" s="3">
        <v>1121933336</v>
      </c>
      <c r="G59" s="18">
        <f t="shared" si="0"/>
        <v>3.4482758620689689</v>
      </c>
    </row>
    <row r="60" spans="1:7" x14ac:dyDescent="0.2">
      <c r="A60" s="9" t="s">
        <v>205</v>
      </c>
      <c r="B60" s="7">
        <v>1.81</v>
      </c>
      <c r="C60" s="7">
        <v>1.8</v>
      </c>
      <c r="D60" s="3">
        <v>7314064</v>
      </c>
      <c r="E60" s="3">
        <v>2019.48</v>
      </c>
      <c r="F60" s="3">
        <v>1121933336</v>
      </c>
      <c r="G60" s="18">
        <f t="shared" si="0"/>
        <v>3.4482758620689689</v>
      </c>
    </row>
    <row r="61" spans="1:7" x14ac:dyDescent="0.2">
      <c r="A61" s="9" t="s">
        <v>204</v>
      </c>
      <c r="B61" s="7">
        <v>1.845</v>
      </c>
      <c r="C61" s="7">
        <v>1.76</v>
      </c>
      <c r="D61" s="3">
        <v>4447377</v>
      </c>
      <c r="E61" s="3">
        <v>1974.6</v>
      </c>
      <c r="F61" s="3">
        <v>1121933336</v>
      </c>
      <c r="G61" s="18">
        <f t="shared" si="0"/>
        <v>1.1494252873563229</v>
      </c>
    </row>
    <row r="62" spans="1:7" x14ac:dyDescent="0.2">
      <c r="A62" s="9" t="s">
        <v>203</v>
      </c>
      <c r="B62" s="7">
        <v>1.77</v>
      </c>
      <c r="C62" s="7">
        <v>1.8049999999999999</v>
      </c>
      <c r="D62" s="3">
        <v>5035994</v>
      </c>
      <c r="E62" s="3">
        <v>2025.09</v>
      </c>
      <c r="F62" s="3">
        <v>1121933336</v>
      </c>
      <c r="G62" s="18">
        <f t="shared" si="0"/>
        <v>3.7356321839080429</v>
      </c>
    </row>
    <row r="63" spans="1:7" x14ac:dyDescent="0.2">
      <c r="A63" s="9" t="s">
        <v>202</v>
      </c>
      <c r="B63" s="7">
        <v>1.83</v>
      </c>
      <c r="C63" s="7">
        <v>1.855</v>
      </c>
      <c r="D63" s="3">
        <v>4712856</v>
      </c>
      <c r="E63" s="3">
        <v>2081.19</v>
      </c>
      <c r="F63" s="3">
        <v>1121933336</v>
      </c>
      <c r="G63" s="18">
        <f t="shared" si="0"/>
        <v>6.6091954022988491</v>
      </c>
    </row>
    <row r="64" spans="1:7" x14ac:dyDescent="0.2">
      <c r="A64" s="9" t="s">
        <v>201</v>
      </c>
      <c r="B64" s="7">
        <v>1.9</v>
      </c>
      <c r="C64" s="7">
        <v>1.9350000000000001</v>
      </c>
      <c r="D64" s="3">
        <v>4505602</v>
      </c>
      <c r="E64" s="3">
        <v>2170.94</v>
      </c>
      <c r="F64" s="3">
        <v>1121933336</v>
      </c>
      <c r="G64" s="18">
        <f t="shared" si="0"/>
        <v>11.206896551724141</v>
      </c>
    </row>
    <row r="65" spans="1:7" x14ac:dyDescent="0.2">
      <c r="A65" s="9" t="s">
        <v>200</v>
      </c>
      <c r="B65" s="7">
        <v>1.95</v>
      </c>
      <c r="C65" s="7">
        <v>1.905</v>
      </c>
      <c r="D65" s="3">
        <v>5249802</v>
      </c>
      <c r="E65" s="3">
        <v>2137.2800000000002</v>
      </c>
      <c r="F65" s="3">
        <v>1121933336</v>
      </c>
      <c r="G65" s="18">
        <f t="shared" si="0"/>
        <v>9.4827586206896584</v>
      </c>
    </row>
    <row r="66" spans="1:7" x14ac:dyDescent="0.2">
      <c r="A66" s="9" t="s">
        <v>199</v>
      </c>
      <c r="B66" s="7">
        <v>1.9350000000000001</v>
      </c>
      <c r="C66" s="7">
        <v>1.91</v>
      </c>
      <c r="D66" s="3">
        <v>4492842</v>
      </c>
      <c r="E66" s="3">
        <v>2142.89</v>
      </c>
      <c r="F66" s="3">
        <v>1121933336</v>
      </c>
      <c r="G66" s="18">
        <f t="shared" si="0"/>
        <v>9.7701149425287319</v>
      </c>
    </row>
    <row r="67" spans="1:7" x14ac:dyDescent="0.2">
      <c r="A67" s="9" t="s">
        <v>198</v>
      </c>
      <c r="B67" s="7">
        <v>1.89</v>
      </c>
      <c r="C67" s="7">
        <v>1.855</v>
      </c>
      <c r="D67" s="3">
        <v>2056404</v>
      </c>
      <c r="E67" s="3">
        <v>2081.19</v>
      </c>
      <c r="F67" s="3">
        <v>1121933336</v>
      </c>
      <c r="G67" s="18">
        <f t="shared" ref="G67:G130" si="1">((C67-$C$2)/$C$2)*100</f>
        <v>6.6091954022988491</v>
      </c>
    </row>
    <row r="68" spans="1:7" x14ac:dyDescent="0.2">
      <c r="A68" s="9" t="s">
        <v>197</v>
      </c>
      <c r="B68" s="7">
        <v>1.9</v>
      </c>
      <c r="C68" s="7">
        <v>1.9450000000000001</v>
      </c>
      <c r="D68" s="3">
        <v>5630953</v>
      </c>
      <c r="E68" s="3">
        <v>2182.16</v>
      </c>
      <c r="F68" s="3">
        <v>1121933336</v>
      </c>
      <c r="G68" s="18">
        <f t="shared" si="1"/>
        <v>11.781609195402302</v>
      </c>
    </row>
    <row r="69" spans="1:7" x14ac:dyDescent="0.2">
      <c r="A69" s="9" t="s">
        <v>196</v>
      </c>
      <c r="B69" s="7">
        <v>1.97</v>
      </c>
      <c r="C69" s="7">
        <v>1.95</v>
      </c>
      <c r="D69" s="3">
        <v>3540812</v>
      </c>
      <c r="E69" s="3">
        <v>2187.77</v>
      </c>
      <c r="F69" s="3">
        <v>1121933336</v>
      </c>
      <c r="G69" s="18">
        <f t="shared" si="1"/>
        <v>12.068965517241377</v>
      </c>
    </row>
    <row r="70" spans="1:7" x14ac:dyDescent="0.2">
      <c r="A70" s="9" t="s">
        <v>195</v>
      </c>
      <c r="B70" s="7">
        <v>1.9350000000000001</v>
      </c>
      <c r="C70" s="7">
        <v>1.9450000000000001</v>
      </c>
      <c r="D70" s="3">
        <v>4628780</v>
      </c>
      <c r="E70" s="3">
        <v>2182.16</v>
      </c>
      <c r="F70" s="3">
        <v>1121933336</v>
      </c>
      <c r="G70" s="18">
        <f t="shared" si="1"/>
        <v>11.781609195402302</v>
      </c>
    </row>
    <row r="71" spans="1:7" x14ac:dyDescent="0.2">
      <c r="A71" s="9" t="s">
        <v>194</v>
      </c>
      <c r="B71" s="7">
        <v>1.89</v>
      </c>
      <c r="C71" s="7">
        <v>1.915</v>
      </c>
      <c r="D71" s="3">
        <v>7741608</v>
      </c>
      <c r="E71" s="3">
        <v>2148.5</v>
      </c>
      <c r="F71" s="3">
        <v>1121933336</v>
      </c>
      <c r="G71" s="18">
        <f t="shared" si="1"/>
        <v>10.05747126436782</v>
      </c>
    </row>
    <row r="72" spans="1:7" x14ac:dyDescent="0.2">
      <c r="A72" s="9" t="s">
        <v>193</v>
      </c>
      <c r="B72" s="7">
        <v>1.9450000000000001</v>
      </c>
      <c r="C72" s="7">
        <v>1.9850000000000001</v>
      </c>
      <c r="D72" s="3">
        <v>8903904</v>
      </c>
      <c r="E72" s="3">
        <v>2227.04</v>
      </c>
      <c r="F72" s="3">
        <v>1121933336</v>
      </c>
      <c r="G72" s="18">
        <f t="shared" si="1"/>
        <v>14.080459770114947</v>
      </c>
    </row>
    <row r="73" spans="1:7" x14ac:dyDescent="0.2">
      <c r="A73" s="9" t="s">
        <v>192</v>
      </c>
      <c r="B73" s="7">
        <v>1.9350000000000001</v>
      </c>
      <c r="C73" s="7">
        <v>1.895</v>
      </c>
      <c r="D73" s="3">
        <v>4038891</v>
      </c>
      <c r="E73" s="3">
        <v>2126.06</v>
      </c>
      <c r="F73" s="3">
        <v>1121933336</v>
      </c>
      <c r="G73" s="18">
        <f t="shared" si="1"/>
        <v>8.9080459770114953</v>
      </c>
    </row>
    <row r="74" spans="1:7" x14ac:dyDescent="0.2">
      <c r="A74" s="9" t="s">
        <v>191</v>
      </c>
      <c r="B74" s="7">
        <v>1.87</v>
      </c>
      <c r="C74" s="7">
        <v>1.845</v>
      </c>
      <c r="D74" s="3">
        <v>4579608</v>
      </c>
      <c r="E74" s="3">
        <v>2069.9699999999998</v>
      </c>
      <c r="F74" s="3">
        <v>1121933336</v>
      </c>
      <c r="G74" s="18">
        <f t="shared" si="1"/>
        <v>6.0344827586206886</v>
      </c>
    </row>
    <row r="75" spans="1:7" x14ac:dyDescent="0.2">
      <c r="A75" s="9" t="s">
        <v>190</v>
      </c>
      <c r="B75" s="7">
        <v>1.855</v>
      </c>
      <c r="C75" s="7">
        <v>1.88</v>
      </c>
      <c r="D75" s="3">
        <v>4152897</v>
      </c>
      <c r="E75" s="3">
        <v>2109.23</v>
      </c>
      <c r="F75" s="3">
        <v>1121933336</v>
      </c>
      <c r="G75" s="18">
        <f t="shared" si="1"/>
        <v>8.0459770114942479</v>
      </c>
    </row>
    <row r="76" spans="1:7" x14ac:dyDescent="0.2">
      <c r="A76" s="9" t="s">
        <v>189</v>
      </c>
      <c r="B76" s="7">
        <v>1.87</v>
      </c>
      <c r="C76" s="7">
        <v>1.825</v>
      </c>
      <c r="D76" s="3">
        <v>5565001</v>
      </c>
      <c r="E76" s="3">
        <v>2047.53</v>
      </c>
      <c r="F76" s="3">
        <v>1121933336</v>
      </c>
      <c r="G76" s="18">
        <f t="shared" si="1"/>
        <v>4.885057471264366</v>
      </c>
    </row>
    <row r="77" spans="1:7" x14ac:dyDescent="0.2">
      <c r="A77" s="9" t="s">
        <v>188</v>
      </c>
      <c r="B77" s="7">
        <v>1.81</v>
      </c>
      <c r="C77" s="7">
        <v>1.875</v>
      </c>
      <c r="D77" s="3">
        <v>6280508</v>
      </c>
      <c r="E77" s="3">
        <v>2103.63</v>
      </c>
      <c r="F77" s="3">
        <v>1121933336</v>
      </c>
      <c r="G77" s="18">
        <f t="shared" si="1"/>
        <v>7.7586206896551726</v>
      </c>
    </row>
    <row r="78" spans="1:7" x14ac:dyDescent="0.2">
      <c r="A78" s="9" t="s">
        <v>187</v>
      </c>
      <c r="B78" s="7">
        <v>1.895</v>
      </c>
      <c r="C78" s="7">
        <v>1.835</v>
      </c>
      <c r="D78" s="3">
        <v>4313971</v>
      </c>
      <c r="E78" s="3">
        <v>2058.75</v>
      </c>
      <c r="F78" s="3">
        <v>1121933336</v>
      </c>
      <c r="G78" s="18">
        <f t="shared" si="1"/>
        <v>5.4597701149425273</v>
      </c>
    </row>
    <row r="79" spans="1:7" x14ac:dyDescent="0.2">
      <c r="A79" s="9" t="s">
        <v>186</v>
      </c>
      <c r="B79" s="7">
        <v>1.77</v>
      </c>
      <c r="C79" s="7">
        <v>1.7450000000000001</v>
      </c>
      <c r="D79" s="3">
        <v>5172175</v>
      </c>
      <c r="E79" s="3">
        <v>1957.77</v>
      </c>
      <c r="F79" s="3">
        <v>1121933336</v>
      </c>
      <c r="G79" s="18">
        <f t="shared" si="1"/>
        <v>0.2873563218390871</v>
      </c>
    </row>
    <row r="80" spans="1:7" x14ac:dyDescent="0.2">
      <c r="A80" s="9" t="s">
        <v>185</v>
      </c>
      <c r="B80" s="7">
        <v>1.77</v>
      </c>
      <c r="C80" s="7">
        <v>1.7649999999999999</v>
      </c>
      <c r="D80" s="3">
        <v>2382639</v>
      </c>
      <c r="E80" s="3">
        <v>1980.21</v>
      </c>
      <c r="F80" s="3">
        <v>1121933336</v>
      </c>
      <c r="G80" s="18">
        <f t="shared" si="1"/>
        <v>1.4367816091953973</v>
      </c>
    </row>
    <row r="81" spans="1:7" x14ac:dyDescent="0.2">
      <c r="A81" s="9" t="s">
        <v>184</v>
      </c>
      <c r="B81" s="7">
        <v>1.77</v>
      </c>
      <c r="C81" s="7">
        <v>1.7549999999999999</v>
      </c>
      <c r="D81" s="3">
        <v>2759603</v>
      </c>
      <c r="E81" s="3">
        <v>1968.99</v>
      </c>
      <c r="F81" s="3">
        <v>1121933336</v>
      </c>
      <c r="G81" s="18">
        <f t="shared" si="1"/>
        <v>0.86206896551723577</v>
      </c>
    </row>
    <row r="82" spans="1:7" x14ac:dyDescent="0.2">
      <c r="A82" s="9" t="s">
        <v>183</v>
      </c>
      <c r="B82" s="7">
        <v>1.7649999999999999</v>
      </c>
      <c r="C82" s="7">
        <v>1.77</v>
      </c>
      <c r="D82" s="3">
        <v>4001107</v>
      </c>
      <c r="E82" s="3">
        <v>1985.82</v>
      </c>
      <c r="F82" s="3">
        <v>1121933336</v>
      </c>
      <c r="G82" s="18">
        <f t="shared" si="1"/>
        <v>1.7241379310344844</v>
      </c>
    </row>
    <row r="83" spans="1:7" x14ac:dyDescent="0.2">
      <c r="A83" s="9" t="s">
        <v>182</v>
      </c>
      <c r="B83" s="7">
        <v>1.81</v>
      </c>
      <c r="C83" s="7">
        <v>1.76</v>
      </c>
      <c r="D83" s="3">
        <v>3946963</v>
      </c>
      <c r="E83" s="3">
        <v>1974.6</v>
      </c>
      <c r="F83" s="3">
        <v>1121933336</v>
      </c>
      <c r="G83" s="18">
        <f t="shared" si="1"/>
        <v>1.1494252873563229</v>
      </c>
    </row>
    <row r="84" spans="1:7" x14ac:dyDescent="0.2">
      <c r="A84" s="9" t="s">
        <v>181</v>
      </c>
      <c r="B84" s="7">
        <v>1.6950000000000001</v>
      </c>
      <c r="C84" s="7">
        <v>1.68</v>
      </c>
      <c r="D84" s="3">
        <v>3486357</v>
      </c>
      <c r="E84" s="3">
        <v>1884.85</v>
      </c>
      <c r="F84" s="3">
        <v>1121933336</v>
      </c>
      <c r="G84" s="18">
        <f t="shared" si="1"/>
        <v>-3.4482758620689689</v>
      </c>
    </row>
    <row r="85" spans="1:7" x14ac:dyDescent="0.2">
      <c r="A85" s="9" t="s">
        <v>180</v>
      </c>
      <c r="B85" s="7">
        <v>1.7</v>
      </c>
      <c r="C85" s="7">
        <v>1.7</v>
      </c>
      <c r="D85" s="3">
        <v>2215962</v>
      </c>
      <c r="E85" s="3">
        <v>1907.29</v>
      </c>
      <c r="F85" s="3">
        <v>1121933336</v>
      </c>
      <c r="G85" s="18">
        <f t="shared" si="1"/>
        <v>-2.2988505747126458</v>
      </c>
    </row>
    <row r="86" spans="1:7" x14ac:dyDescent="0.2">
      <c r="A86" s="9" t="s">
        <v>179</v>
      </c>
      <c r="B86" s="7">
        <v>1.7050000000000001</v>
      </c>
      <c r="C86" s="7">
        <v>1.7</v>
      </c>
      <c r="D86" s="3">
        <v>4069173</v>
      </c>
      <c r="E86" s="3">
        <v>1907.29</v>
      </c>
      <c r="F86" s="3">
        <v>1121933336</v>
      </c>
      <c r="G86" s="18">
        <f t="shared" si="1"/>
        <v>-2.2988505747126458</v>
      </c>
    </row>
    <row r="87" spans="1:7" x14ac:dyDescent="0.2">
      <c r="A87" s="9" t="s">
        <v>178</v>
      </c>
      <c r="B87" s="7">
        <v>1.7</v>
      </c>
      <c r="C87" s="7">
        <v>1.71</v>
      </c>
      <c r="D87" s="3">
        <v>2282699</v>
      </c>
      <c r="E87" s="3">
        <v>1918.51</v>
      </c>
      <c r="F87" s="3">
        <v>1121933336</v>
      </c>
      <c r="G87" s="18">
        <f t="shared" si="1"/>
        <v>-1.7241379310344844</v>
      </c>
    </row>
    <row r="88" spans="1:7" x14ac:dyDescent="0.2">
      <c r="A88" s="9" t="s">
        <v>177</v>
      </c>
      <c r="B88" s="7">
        <v>1.7450000000000001</v>
      </c>
      <c r="C88" s="7">
        <v>1.79</v>
      </c>
      <c r="D88" s="3">
        <v>2665038</v>
      </c>
      <c r="E88" s="3">
        <v>2008.26</v>
      </c>
      <c r="F88" s="3">
        <v>1121933336</v>
      </c>
      <c r="G88" s="18">
        <f t="shared" si="1"/>
        <v>2.8735632183908075</v>
      </c>
    </row>
    <row r="89" spans="1:7" x14ac:dyDescent="0.2">
      <c r="A89" s="9" t="s">
        <v>176</v>
      </c>
      <c r="B89" s="7">
        <v>1.7949999999999999</v>
      </c>
      <c r="C89" s="7">
        <v>1.7949999999999999</v>
      </c>
      <c r="D89" s="3">
        <v>2011304</v>
      </c>
      <c r="E89" s="3">
        <v>2013.87</v>
      </c>
      <c r="F89" s="3">
        <v>1121933336</v>
      </c>
      <c r="G89" s="18">
        <f t="shared" si="1"/>
        <v>3.1609195402298811</v>
      </c>
    </row>
    <row r="90" spans="1:7" x14ac:dyDescent="0.2">
      <c r="A90" s="9" t="s">
        <v>175</v>
      </c>
      <c r="B90" s="7">
        <v>1.7849999999999999</v>
      </c>
      <c r="C90" s="7">
        <v>1.77</v>
      </c>
      <c r="D90" s="3">
        <v>1992374</v>
      </c>
      <c r="E90" s="3">
        <v>1985.82</v>
      </c>
      <c r="F90" s="3">
        <v>1121933336</v>
      </c>
      <c r="G90" s="18">
        <f t="shared" si="1"/>
        <v>1.7241379310344844</v>
      </c>
    </row>
    <row r="91" spans="1:7" x14ac:dyDescent="0.2">
      <c r="A91" s="9" t="s">
        <v>174</v>
      </c>
      <c r="B91" s="7">
        <v>1.82</v>
      </c>
      <c r="C91" s="7">
        <v>1.8149999999999999</v>
      </c>
      <c r="D91" s="3">
        <v>8353759</v>
      </c>
      <c r="E91" s="3">
        <v>2036.31</v>
      </c>
      <c r="F91" s="3">
        <v>1121933336</v>
      </c>
      <c r="G91" s="18">
        <f t="shared" si="1"/>
        <v>4.3103448275862046</v>
      </c>
    </row>
    <row r="92" spans="1:7" x14ac:dyDescent="0.2">
      <c r="A92" s="9" t="s">
        <v>173</v>
      </c>
      <c r="B92" s="7">
        <v>1.82</v>
      </c>
      <c r="C92" s="7">
        <v>1.825</v>
      </c>
      <c r="D92" s="3">
        <v>1826156</v>
      </c>
      <c r="E92" s="3">
        <v>2047.53</v>
      </c>
      <c r="F92" s="3">
        <v>1121933336</v>
      </c>
      <c r="G92" s="18">
        <f t="shared" si="1"/>
        <v>4.885057471264366</v>
      </c>
    </row>
    <row r="93" spans="1:7" x14ac:dyDescent="0.2">
      <c r="A93" s="9" t="s">
        <v>172</v>
      </c>
      <c r="B93" s="7">
        <v>1.82</v>
      </c>
      <c r="C93" s="7">
        <v>1.845</v>
      </c>
      <c r="D93" s="3">
        <v>2863841</v>
      </c>
      <c r="E93" s="3">
        <v>2069.9699999999998</v>
      </c>
      <c r="F93" s="3">
        <v>1121933336</v>
      </c>
      <c r="G93" s="18">
        <f t="shared" si="1"/>
        <v>6.0344827586206886</v>
      </c>
    </row>
    <row r="94" spans="1:7" x14ac:dyDescent="0.2">
      <c r="A94" s="9" t="s">
        <v>171</v>
      </c>
      <c r="B94" s="7">
        <v>1.87</v>
      </c>
      <c r="C94" s="7">
        <v>1.8149999999999999</v>
      </c>
      <c r="D94" s="3">
        <v>1792463</v>
      </c>
      <c r="E94" s="3">
        <v>2036.31</v>
      </c>
      <c r="F94" s="3">
        <v>1121933336</v>
      </c>
      <c r="G94" s="18">
        <f t="shared" si="1"/>
        <v>4.3103448275862046</v>
      </c>
    </row>
    <row r="95" spans="1:7" x14ac:dyDescent="0.2">
      <c r="A95" s="9" t="s">
        <v>170</v>
      </c>
      <c r="B95" s="7">
        <v>1.85</v>
      </c>
      <c r="C95" s="7">
        <v>1.875</v>
      </c>
      <c r="D95" s="3">
        <v>2368807</v>
      </c>
      <c r="E95" s="3">
        <v>2103.63</v>
      </c>
      <c r="F95" s="3">
        <v>1121933336</v>
      </c>
      <c r="G95" s="18">
        <f t="shared" si="1"/>
        <v>7.7586206896551726</v>
      </c>
    </row>
    <row r="96" spans="1:7" x14ac:dyDescent="0.2">
      <c r="A96" s="9" t="s">
        <v>169</v>
      </c>
      <c r="B96" s="7">
        <v>1.855</v>
      </c>
      <c r="C96" s="7">
        <v>1.87</v>
      </c>
      <c r="D96" s="3">
        <v>1317083</v>
      </c>
      <c r="E96" s="3">
        <v>2098.02</v>
      </c>
      <c r="F96" s="3">
        <v>1121933336</v>
      </c>
      <c r="G96" s="18">
        <f t="shared" si="1"/>
        <v>7.4712643678160982</v>
      </c>
    </row>
    <row r="97" spans="1:7" x14ac:dyDescent="0.2">
      <c r="A97" s="9" t="s">
        <v>168</v>
      </c>
      <c r="B97" s="7">
        <v>1.9</v>
      </c>
      <c r="C97" s="7">
        <v>1.915</v>
      </c>
      <c r="D97" s="3">
        <v>3156044</v>
      </c>
      <c r="E97" s="3">
        <v>2148.5</v>
      </c>
      <c r="F97" s="3">
        <v>1121933336</v>
      </c>
      <c r="G97" s="18">
        <f t="shared" si="1"/>
        <v>10.05747126436782</v>
      </c>
    </row>
    <row r="98" spans="1:7" x14ac:dyDescent="0.2">
      <c r="A98" s="9" t="s">
        <v>167</v>
      </c>
      <c r="B98" s="7">
        <v>1.915</v>
      </c>
      <c r="C98" s="7">
        <v>1.92</v>
      </c>
      <c r="D98" s="3">
        <v>6748817</v>
      </c>
      <c r="E98" s="3">
        <v>2154.11</v>
      </c>
      <c r="F98" s="3">
        <v>1121933336</v>
      </c>
      <c r="G98" s="18">
        <f t="shared" si="1"/>
        <v>10.344827586206893</v>
      </c>
    </row>
    <row r="99" spans="1:7" x14ac:dyDescent="0.2">
      <c r="A99" s="9" t="s">
        <v>166</v>
      </c>
      <c r="B99" s="7">
        <v>1.92</v>
      </c>
      <c r="C99" s="7">
        <v>1.89</v>
      </c>
      <c r="D99" s="3">
        <v>3186945</v>
      </c>
      <c r="E99" s="3">
        <v>2120.4499999999998</v>
      </c>
      <c r="F99" s="3">
        <v>1121933336</v>
      </c>
      <c r="G99" s="18">
        <f t="shared" si="1"/>
        <v>8.6206896551724093</v>
      </c>
    </row>
    <row r="100" spans="1:7" x14ac:dyDescent="0.2">
      <c r="A100" s="9" t="s">
        <v>165</v>
      </c>
      <c r="B100" s="7">
        <v>1.845</v>
      </c>
      <c r="C100" s="7">
        <v>1.79</v>
      </c>
      <c r="D100" s="3">
        <v>3258518</v>
      </c>
      <c r="E100" s="3">
        <v>2008.26</v>
      </c>
      <c r="F100" s="3">
        <v>1121933336</v>
      </c>
      <c r="G100" s="18">
        <f t="shared" si="1"/>
        <v>2.8735632183908075</v>
      </c>
    </row>
    <row r="101" spans="1:7" x14ac:dyDescent="0.2">
      <c r="A101" s="9" t="s">
        <v>164</v>
      </c>
      <c r="B101" s="7">
        <v>1.77</v>
      </c>
      <c r="C101" s="7">
        <v>1.78</v>
      </c>
      <c r="D101" s="3">
        <v>2876146</v>
      </c>
      <c r="E101" s="3">
        <v>1997.04</v>
      </c>
      <c r="F101" s="3">
        <v>1121933336</v>
      </c>
      <c r="G101" s="18">
        <f t="shared" si="1"/>
        <v>2.2988505747126458</v>
      </c>
    </row>
    <row r="102" spans="1:7" x14ac:dyDescent="0.2">
      <c r="A102" s="9" t="s">
        <v>163</v>
      </c>
      <c r="B102" s="7">
        <v>1.8</v>
      </c>
      <c r="C102" s="7">
        <v>1.855</v>
      </c>
      <c r="D102" s="3">
        <v>2156957</v>
      </c>
      <c r="E102" s="3">
        <v>2081.19</v>
      </c>
      <c r="F102" s="3">
        <v>1121933336</v>
      </c>
      <c r="G102" s="18">
        <f t="shared" si="1"/>
        <v>6.6091954022988491</v>
      </c>
    </row>
    <row r="103" spans="1:7" x14ac:dyDescent="0.2">
      <c r="A103" s="9" t="s">
        <v>162</v>
      </c>
      <c r="B103" s="7">
        <v>1.88</v>
      </c>
      <c r="C103" s="7">
        <v>1.85</v>
      </c>
      <c r="D103" s="3">
        <v>2308291</v>
      </c>
      <c r="E103" s="3">
        <v>2075.58</v>
      </c>
      <c r="F103" s="3">
        <v>1121933336</v>
      </c>
      <c r="G103" s="18">
        <f t="shared" si="1"/>
        <v>6.3218390804597764</v>
      </c>
    </row>
    <row r="104" spans="1:7" x14ac:dyDescent="0.2">
      <c r="A104" s="9" t="s">
        <v>161</v>
      </c>
      <c r="B104" s="7">
        <v>1.84</v>
      </c>
      <c r="C104" s="7">
        <v>1.91</v>
      </c>
      <c r="D104" s="3">
        <v>5757148</v>
      </c>
      <c r="E104" s="3">
        <v>2142.89</v>
      </c>
      <c r="F104" s="3">
        <v>1121933336</v>
      </c>
      <c r="G104" s="18">
        <f t="shared" si="1"/>
        <v>9.7701149425287319</v>
      </c>
    </row>
    <row r="105" spans="1:7" x14ac:dyDescent="0.2">
      <c r="A105" s="9" t="s">
        <v>160</v>
      </c>
      <c r="B105" s="7">
        <v>1.9</v>
      </c>
      <c r="C105" s="7">
        <v>1.8</v>
      </c>
      <c r="D105" s="3">
        <v>9753173</v>
      </c>
      <c r="E105" s="3">
        <v>2019.48</v>
      </c>
      <c r="F105" s="3">
        <v>1121933336</v>
      </c>
      <c r="G105" s="18">
        <f t="shared" si="1"/>
        <v>3.4482758620689689</v>
      </c>
    </row>
    <row r="106" spans="1:7" x14ac:dyDescent="0.2">
      <c r="A106" s="9" t="s">
        <v>159</v>
      </c>
      <c r="B106" s="7">
        <v>1.82</v>
      </c>
      <c r="C106" s="7">
        <v>1.875</v>
      </c>
      <c r="D106" s="3">
        <v>7324115</v>
      </c>
      <c r="E106" s="3">
        <v>2103.63</v>
      </c>
      <c r="F106" s="3">
        <v>1121933336</v>
      </c>
      <c r="G106" s="18">
        <f t="shared" si="1"/>
        <v>7.7586206896551726</v>
      </c>
    </row>
    <row r="107" spans="1:7" x14ac:dyDescent="0.2">
      <c r="A107" s="9" t="s">
        <v>158</v>
      </c>
      <c r="B107" s="7">
        <v>1.85</v>
      </c>
      <c r="C107" s="7">
        <v>1.8149999999999999</v>
      </c>
      <c r="D107" s="3">
        <v>3799600</v>
      </c>
      <c r="E107" s="3">
        <v>2036.31</v>
      </c>
      <c r="F107" s="3">
        <v>1121933336</v>
      </c>
      <c r="G107" s="18">
        <f t="shared" si="1"/>
        <v>4.3103448275862046</v>
      </c>
    </row>
    <row r="108" spans="1:7" x14ac:dyDescent="0.2">
      <c r="A108" s="9" t="s">
        <v>157</v>
      </c>
      <c r="B108" s="7">
        <v>1.84</v>
      </c>
      <c r="C108" s="7">
        <v>1.82</v>
      </c>
      <c r="D108" s="3">
        <v>2382779</v>
      </c>
      <c r="E108" s="3">
        <v>2041.92</v>
      </c>
      <c r="F108" s="3">
        <v>1121933336</v>
      </c>
      <c r="G108" s="18">
        <f t="shared" si="1"/>
        <v>4.5977011494252915</v>
      </c>
    </row>
    <row r="109" spans="1:7" x14ac:dyDescent="0.2">
      <c r="A109" s="9" t="s">
        <v>156</v>
      </c>
      <c r="B109" s="7">
        <v>1.825</v>
      </c>
      <c r="C109" s="7">
        <v>1.83</v>
      </c>
      <c r="D109" s="3">
        <v>3841896</v>
      </c>
      <c r="E109" s="3">
        <v>2053.14</v>
      </c>
      <c r="F109" s="3">
        <v>1121933336</v>
      </c>
      <c r="G109" s="18">
        <f t="shared" si="1"/>
        <v>5.1724137931034528</v>
      </c>
    </row>
    <row r="110" spans="1:7" x14ac:dyDescent="0.2">
      <c r="A110" s="9" t="s">
        <v>155</v>
      </c>
      <c r="B110" s="7">
        <v>1.885</v>
      </c>
      <c r="C110" s="7">
        <v>1.92</v>
      </c>
      <c r="D110" s="3">
        <v>6904716</v>
      </c>
      <c r="E110" s="3">
        <v>2154.11</v>
      </c>
      <c r="F110" s="3">
        <v>1121933336</v>
      </c>
      <c r="G110" s="18">
        <f t="shared" si="1"/>
        <v>10.344827586206893</v>
      </c>
    </row>
    <row r="111" spans="1:7" x14ac:dyDescent="0.2">
      <c r="A111" s="9" t="s">
        <v>154</v>
      </c>
      <c r="B111" s="7">
        <v>1.9650000000000001</v>
      </c>
      <c r="C111" s="7">
        <v>1.99</v>
      </c>
      <c r="D111" s="3">
        <v>6235545</v>
      </c>
      <c r="E111" s="3">
        <v>2232.65</v>
      </c>
      <c r="F111" s="3">
        <v>1121933336</v>
      </c>
      <c r="G111" s="18">
        <f t="shared" si="1"/>
        <v>14.367816091954023</v>
      </c>
    </row>
    <row r="112" spans="1:7" x14ac:dyDescent="0.2">
      <c r="A112" s="9" t="s">
        <v>153</v>
      </c>
      <c r="B112" s="7">
        <v>1.87</v>
      </c>
      <c r="C112" s="7">
        <v>1.8149999999999999</v>
      </c>
      <c r="D112" s="3">
        <v>8483857</v>
      </c>
      <c r="E112" s="3">
        <v>2036.31</v>
      </c>
      <c r="F112" s="3">
        <v>1121933336</v>
      </c>
      <c r="G112" s="18">
        <f t="shared" si="1"/>
        <v>4.3103448275862046</v>
      </c>
    </row>
    <row r="113" spans="1:7" x14ac:dyDescent="0.2">
      <c r="A113" s="9" t="s">
        <v>152</v>
      </c>
      <c r="B113" s="7">
        <v>1.85</v>
      </c>
      <c r="C113" s="7">
        <v>1.7949999999999999</v>
      </c>
      <c r="D113" s="3">
        <v>4729411</v>
      </c>
      <c r="E113" s="3">
        <v>2013.87</v>
      </c>
      <c r="F113" s="3">
        <v>1121933336</v>
      </c>
      <c r="G113" s="18">
        <f t="shared" si="1"/>
        <v>3.1609195402298811</v>
      </c>
    </row>
    <row r="114" spans="1:7" x14ac:dyDescent="0.2">
      <c r="A114" s="9" t="s">
        <v>151</v>
      </c>
      <c r="B114" s="7">
        <v>1.825</v>
      </c>
      <c r="C114" s="7">
        <v>1.78</v>
      </c>
      <c r="D114" s="3">
        <v>2750460</v>
      </c>
      <c r="E114" s="3">
        <v>1997.04</v>
      </c>
      <c r="F114" s="3">
        <v>1121933336</v>
      </c>
      <c r="G114" s="18">
        <f t="shared" si="1"/>
        <v>2.2988505747126458</v>
      </c>
    </row>
    <row r="115" spans="1:7" x14ac:dyDescent="0.2">
      <c r="A115" s="9" t="s">
        <v>150</v>
      </c>
      <c r="B115" s="7">
        <v>1.7649999999999999</v>
      </c>
      <c r="C115" s="7">
        <v>1.7250000000000001</v>
      </c>
      <c r="D115" s="3">
        <v>3565483</v>
      </c>
      <c r="E115" s="3">
        <v>1935.34</v>
      </c>
      <c r="F115" s="3">
        <v>1121933336</v>
      </c>
      <c r="G115" s="18">
        <f t="shared" si="1"/>
        <v>-0.86206896551723577</v>
      </c>
    </row>
    <row r="116" spans="1:7" x14ac:dyDescent="0.2">
      <c r="A116" s="9" t="s">
        <v>149</v>
      </c>
      <c r="B116" s="7">
        <v>1.74</v>
      </c>
      <c r="C116" s="7">
        <v>1.7649999999999999</v>
      </c>
      <c r="D116" s="3">
        <v>3862582</v>
      </c>
      <c r="E116" s="3">
        <v>1980.21</v>
      </c>
      <c r="F116" s="3">
        <v>1121933336</v>
      </c>
      <c r="G116" s="18">
        <f t="shared" si="1"/>
        <v>1.4367816091953973</v>
      </c>
    </row>
    <row r="117" spans="1:7" x14ac:dyDescent="0.2">
      <c r="A117" s="9" t="s">
        <v>148</v>
      </c>
      <c r="B117" s="7">
        <v>1.78</v>
      </c>
      <c r="C117" s="7">
        <v>1.7649999999999999</v>
      </c>
      <c r="D117" s="3">
        <v>2538987</v>
      </c>
      <c r="E117" s="3">
        <v>1980.21</v>
      </c>
      <c r="F117" s="3">
        <v>1121933336</v>
      </c>
      <c r="G117" s="18">
        <f t="shared" si="1"/>
        <v>1.4367816091953973</v>
      </c>
    </row>
    <row r="118" spans="1:7" x14ac:dyDescent="0.2">
      <c r="A118" s="9" t="s">
        <v>147</v>
      </c>
      <c r="B118" s="7">
        <v>1.8049999999999999</v>
      </c>
      <c r="C118" s="7">
        <v>1.81</v>
      </c>
      <c r="D118" s="3">
        <v>3256227</v>
      </c>
      <c r="E118" s="3">
        <v>2030.7</v>
      </c>
      <c r="F118" s="3">
        <v>1121933336</v>
      </c>
      <c r="G118" s="18">
        <f t="shared" si="1"/>
        <v>4.0229885057471302</v>
      </c>
    </row>
    <row r="119" spans="1:7" x14ac:dyDescent="0.2">
      <c r="A119" s="9" t="s">
        <v>146</v>
      </c>
      <c r="B119" s="7">
        <v>1.81</v>
      </c>
      <c r="C119" s="7">
        <v>1.81</v>
      </c>
      <c r="D119" s="3">
        <v>3285427</v>
      </c>
      <c r="E119" s="3">
        <v>2030.7</v>
      </c>
      <c r="F119" s="3">
        <v>1121933336</v>
      </c>
      <c r="G119" s="18">
        <f t="shared" si="1"/>
        <v>4.0229885057471302</v>
      </c>
    </row>
    <row r="120" spans="1:7" x14ac:dyDescent="0.2">
      <c r="A120" s="9" t="s">
        <v>145</v>
      </c>
      <c r="B120" s="7">
        <v>1.875</v>
      </c>
      <c r="C120" s="7">
        <v>1.89</v>
      </c>
      <c r="D120" s="3">
        <v>13042771</v>
      </c>
      <c r="E120" s="3">
        <v>2120.4499999999998</v>
      </c>
      <c r="F120" s="3">
        <v>1121933336</v>
      </c>
      <c r="G120" s="18">
        <f t="shared" si="1"/>
        <v>8.6206896551724093</v>
      </c>
    </row>
    <row r="121" spans="1:7" x14ac:dyDescent="0.2">
      <c r="A121" s="9" t="s">
        <v>144</v>
      </c>
      <c r="B121" s="7">
        <v>1.845</v>
      </c>
      <c r="C121" s="7">
        <v>1.83</v>
      </c>
      <c r="D121" s="3">
        <v>2328320</v>
      </c>
      <c r="E121" s="3">
        <v>2053.14</v>
      </c>
      <c r="F121" s="3">
        <v>1121933336</v>
      </c>
      <c r="G121" s="18">
        <f t="shared" si="1"/>
        <v>5.1724137931034528</v>
      </c>
    </row>
    <row r="122" spans="1:7" x14ac:dyDescent="0.2">
      <c r="A122" s="9" t="s">
        <v>143</v>
      </c>
      <c r="B122" s="7">
        <v>1.855</v>
      </c>
      <c r="C122" s="7">
        <v>1.83</v>
      </c>
      <c r="D122" s="3">
        <v>3358722</v>
      </c>
      <c r="E122" s="3">
        <v>2053.14</v>
      </c>
      <c r="F122" s="3">
        <v>1121933336</v>
      </c>
      <c r="G122" s="18">
        <f t="shared" si="1"/>
        <v>5.1724137931034528</v>
      </c>
    </row>
    <row r="123" spans="1:7" x14ac:dyDescent="0.2">
      <c r="A123" s="9" t="s">
        <v>142</v>
      </c>
      <c r="B123" s="7">
        <v>1.8049999999999999</v>
      </c>
      <c r="C123" s="7">
        <v>1.75</v>
      </c>
      <c r="D123" s="3">
        <v>3100073</v>
      </c>
      <c r="E123" s="3">
        <v>1963.38</v>
      </c>
      <c r="F123" s="3">
        <v>1121933336</v>
      </c>
      <c r="G123" s="18">
        <f t="shared" si="1"/>
        <v>0.57471264367816144</v>
      </c>
    </row>
    <row r="124" spans="1:7" x14ac:dyDescent="0.2">
      <c r="A124" s="9" t="s">
        <v>141</v>
      </c>
      <c r="B124" s="7">
        <v>1.7250000000000001</v>
      </c>
      <c r="C124" s="7">
        <v>1.73</v>
      </c>
      <c r="D124" s="3">
        <v>2773540</v>
      </c>
      <c r="E124" s="3">
        <v>1940.94</v>
      </c>
      <c r="F124" s="3">
        <v>1121933336</v>
      </c>
      <c r="G124" s="18">
        <f t="shared" si="1"/>
        <v>-0.57471264367816144</v>
      </c>
    </row>
    <row r="125" spans="1:7" x14ac:dyDescent="0.2">
      <c r="A125" s="9" t="s">
        <v>140</v>
      </c>
      <c r="B125" s="7">
        <v>1.74</v>
      </c>
      <c r="C125" s="7">
        <v>1.7549999999999999</v>
      </c>
      <c r="D125" s="3">
        <v>3494963</v>
      </c>
      <c r="E125" s="3">
        <v>1968.99</v>
      </c>
      <c r="F125" s="3">
        <v>1121933336</v>
      </c>
      <c r="G125" s="18">
        <f t="shared" si="1"/>
        <v>0.86206896551723577</v>
      </c>
    </row>
    <row r="126" spans="1:7" x14ac:dyDescent="0.2">
      <c r="A126" s="9" t="s">
        <v>139</v>
      </c>
      <c r="B126" s="7">
        <v>1.74</v>
      </c>
      <c r="C126" s="7">
        <v>1.7649999999999999</v>
      </c>
      <c r="D126" s="3">
        <v>1655010</v>
      </c>
      <c r="E126" s="3">
        <v>1980.21</v>
      </c>
      <c r="F126" s="3">
        <v>1121933336</v>
      </c>
      <c r="G126" s="18">
        <f t="shared" si="1"/>
        <v>1.4367816091953973</v>
      </c>
    </row>
    <row r="127" spans="1:7" x14ac:dyDescent="0.2">
      <c r="A127" s="9" t="s">
        <v>138</v>
      </c>
      <c r="B127" s="7">
        <v>1.7549999999999999</v>
      </c>
      <c r="C127" s="7">
        <v>1.76</v>
      </c>
      <c r="D127" s="3">
        <v>1892724</v>
      </c>
      <c r="E127" s="3">
        <v>1974.6</v>
      </c>
      <c r="F127" s="3">
        <v>1121933336</v>
      </c>
      <c r="G127" s="18">
        <f t="shared" si="1"/>
        <v>1.1494252873563229</v>
      </c>
    </row>
    <row r="128" spans="1:7" x14ac:dyDescent="0.2">
      <c r="A128" s="9" t="s">
        <v>137</v>
      </c>
      <c r="B128" s="7">
        <v>1.77</v>
      </c>
      <c r="C128" s="7">
        <v>1.7949999999999999</v>
      </c>
      <c r="D128" s="3">
        <v>1681875</v>
      </c>
      <c r="E128" s="3">
        <v>2013.87</v>
      </c>
      <c r="F128" s="3">
        <v>1121933336</v>
      </c>
      <c r="G128" s="18">
        <f t="shared" si="1"/>
        <v>3.1609195402298811</v>
      </c>
    </row>
    <row r="129" spans="1:7" x14ac:dyDescent="0.2">
      <c r="A129" s="9" t="s">
        <v>136</v>
      </c>
      <c r="B129" s="7">
        <v>1.84</v>
      </c>
      <c r="C129" s="7">
        <v>1.865</v>
      </c>
      <c r="D129" s="3">
        <v>2501377</v>
      </c>
      <c r="E129" s="3">
        <v>2092.41</v>
      </c>
      <c r="F129" s="3">
        <v>1121933336</v>
      </c>
      <c r="G129" s="18">
        <f t="shared" si="1"/>
        <v>7.1839080459770113</v>
      </c>
    </row>
    <row r="130" spans="1:7" x14ac:dyDescent="0.2">
      <c r="A130" s="9" t="s">
        <v>135</v>
      </c>
      <c r="B130" s="7">
        <v>1.865</v>
      </c>
      <c r="C130" s="7">
        <v>1.895</v>
      </c>
      <c r="D130" s="3">
        <v>2682541</v>
      </c>
      <c r="E130" s="3">
        <v>2126.06</v>
      </c>
      <c r="F130" s="3">
        <v>1121933336</v>
      </c>
      <c r="G130" s="18">
        <f t="shared" si="1"/>
        <v>8.9080459770114953</v>
      </c>
    </row>
    <row r="131" spans="1:7" x14ac:dyDescent="0.2">
      <c r="A131" s="9" t="s">
        <v>134</v>
      </c>
      <c r="B131" s="7">
        <v>1.925</v>
      </c>
      <c r="C131" s="7">
        <v>1.88</v>
      </c>
      <c r="D131" s="3">
        <v>2879381</v>
      </c>
      <c r="E131" s="3">
        <v>2109.23</v>
      </c>
      <c r="F131" s="3">
        <v>1121933336</v>
      </c>
      <c r="G131" s="18">
        <f t="shared" ref="G131:G194" si="2">((C131-$C$2)/$C$2)*100</f>
        <v>8.0459770114942479</v>
      </c>
    </row>
    <row r="132" spans="1:7" x14ac:dyDescent="0.2">
      <c r="A132" s="9" t="s">
        <v>133</v>
      </c>
      <c r="B132" s="7">
        <v>1.87</v>
      </c>
      <c r="C132" s="7">
        <v>1.895</v>
      </c>
      <c r="D132" s="3">
        <v>2552478</v>
      </c>
      <c r="E132" s="3">
        <v>2126.06</v>
      </c>
      <c r="F132" s="3">
        <v>1121933336</v>
      </c>
      <c r="G132" s="18">
        <f t="shared" si="2"/>
        <v>8.9080459770114953</v>
      </c>
    </row>
    <row r="133" spans="1:7" x14ac:dyDescent="0.2">
      <c r="A133" s="9" t="s">
        <v>132</v>
      </c>
      <c r="B133" s="7">
        <v>1.885</v>
      </c>
      <c r="C133" s="7">
        <v>1.88</v>
      </c>
      <c r="D133" s="3">
        <v>3093906</v>
      </c>
      <c r="E133" s="3">
        <v>2109.23</v>
      </c>
      <c r="F133" s="3">
        <v>1121933336</v>
      </c>
      <c r="G133" s="18">
        <f t="shared" si="2"/>
        <v>8.0459770114942479</v>
      </c>
    </row>
    <row r="134" spans="1:7" x14ac:dyDescent="0.2">
      <c r="A134" s="9" t="s">
        <v>131</v>
      </c>
      <c r="B134" s="7">
        <v>1.91</v>
      </c>
      <c r="C134" s="7">
        <v>1.9550000000000001</v>
      </c>
      <c r="D134" s="3">
        <v>5789308</v>
      </c>
      <c r="E134" s="3">
        <v>2193.38</v>
      </c>
      <c r="F134" s="3">
        <v>1121933336</v>
      </c>
      <c r="G134" s="18">
        <f t="shared" si="2"/>
        <v>12.356321839080465</v>
      </c>
    </row>
    <row r="135" spans="1:7" x14ac:dyDescent="0.2">
      <c r="A135" s="9" t="s">
        <v>130</v>
      </c>
      <c r="B135" s="7">
        <v>1.99</v>
      </c>
      <c r="C135" s="7">
        <v>2.0699999999999998</v>
      </c>
      <c r="D135" s="3">
        <v>9149174</v>
      </c>
      <c r="E135" s="3">
        <v>2322.4</v>
      </c>
      <c r="F135" s="3">
        <v>1121933336</v>
      </c>
      <c r="G135" s="18">
        <f t="shared" si="2"/>
        <v>18.965517241379303</v>
      </c>
    </row>
    <row r="136" spans="1:7" x14ac:dyDescent="0.2">
      <c r="A136" s="9" t="s">
        <v>129</v>
      </c>
      <c r="B136" s="7">
        <v>2.09</v>
      </c>
      <c r="C136" s="7">
        <v>2.12</v>
      </c>
      <c r="D136" s="3">
        <v>4126554</v>
      </c>
      <c r="E136" s="3">
        <v>2378.5</v>
      </c>
      <c r="F136" s="3">
        <v>1121933336</v>
      </c>
      <c r="G136" s="18">
        <f t="shared" si="2"/>
        <v>21.839080459770123</v>
      </c>
    </row>
    <row r="137" spans="1:7" x14ac:dyDescent="0.2">
      <c r="A137" s="9" t="s">
        <v>128</v>
      </c>
      <c r="B137" s="7">
        <v>2.15</v>
      </c>
      <c r="C137" s="7">
        <v>2.15</v>
      </c>
      <c r="D137" s="3">
        <v>7133509</v>
      </c>
      <c r="E137" s="3">
        <v>2412.29</v>
      </c>
      <c r="F137" s="3">
        <v>1121996411</v>
      </c>
      <c r="G137" s="18">
        <f t="shared" si="2"/>
        <v>23.563218390804593</v>
      </c>
    </row>
    <row r="138" spans="1:7" x14ac:dyDescent="0.2">
      <c r="A138" s="9" t="s">
        <v>127</v>
      </c>
      <c r="B138" s="7">
        <v>2.19</v>
      </c>
      <c r="C138" s="7">
        <v>2.16</v>
      </c>
      <c r="D138" s="3">
        <v>5296907</v>
      </c>
      <c r="E138" s="3">
        <v>2423.5100000000002</v>
      </c>
      <c r="F138" s="3">
        <v>1121996411</v>
      </c>
      <c r="G138" s="18">
        <f t="shared" si="2"/>
        <v>24.137931034482769</v>
      </c>
    </row>
    <row r="139" spans="1:7" x14ac:dyDescent="0.2">
      <c r="A139" s="9" t="s">
        <v>126</v>
      </c>
      <c r="B139" s="7">
        <v>2.14</v>
      </c>
      <c r="C139" s="7">
        <v>2.15</v>
      </c>
      <c r="D139" s="3">
        <v>5001323</v>
      </c>
      <c r="E139" s="3">
        <v>2412.29</v>
      </c>
      <c r="F139" s="3">
        <v>1121996411</v>
      </c>
      <c r="G139" s="18">
        <f t="shared" si="2"/>
        <v>23.563218390804593</v>
      </c>
    </row>
    <row r="140" spans="1:7" x14ac:dyDescent="0.2">
      <c r="A140" s="9" t="s">
        <v>125</v>
      </c>
      <c r="B140" s="7">
        <v>2.09</v>
      </c>
      <c r="C140" s="7">
        <v>2.15</v>
      </c>
      <c r="D140" s="3">
        <v>6049375</v>
      </c>
      <c r="E140" s="3">
        <v>2412.29</v>
      </c>
      <c r="F140" s="3">
        <v>1121996411</v>
      </c>
      <c r="G140" s="18">
        <f t="shared" si="2"/>
        <v>23.563218390804593</v>
      </c>
    </row>
    <row r="141" spans="1:7" x14ac:dyDescent="0.2">
      <c r="A141" s="9" t="s">
        <v>124</v>
      </c>
      <c r="B141" s="7">
        <v>2.15</v>
      </c>
      <c r="C141" s="7">
        <v>2.17</v>
      </c>
      <c r="D141" s="3">
        <v>3742862</v>
      </c>
      <c r="E141" s="3">
        <v>2434.73</v>
      </c>
      <c r="F141" s="3">
        <v>1121996411</v>
      </c>
      <c r="G141" s="18">
        <f t="shared" si="2"/>
        <v>24.712643678160916</v>
      </c>
    </row>
    <row r="142" spans="1:7" x14ac:dyDescent="0.2">
      <c r="A142" s="9" t="s">
        <v>123</v>
      </c>
      <c r="B142" s="7">
        <v>2.19</v>
      </c>
      <c r="C142" s="7">
        <v>2.12</v>
      </c>
      <c r="D142" s="3">
        <v>6346587</v>
      </c>
      <c r="E142" s="3">
        <v>2378.63</v>
      </c>
      <c r="F142" s="3">
        <v>1121996411</v>
      </c>
      <c r="G142" s="18">
        <f t="shared" si="2"/>
        <v>21.839080459770123</v>
      </c>
    </row>
    <row r="143" spans="1:7" x14ac:dyDescent="0.2">
      <c r="A143" s="9" t="s">
        <v>122</v>
      </c>
      <c r="B143" s="7">
        <v>2.13</v>
      </c>
      <c r="C143" s="7">
        <v>2.17</v>
      </c>
      <c r="D143" s="3">
        <v>5016393</v>
      </c>
      <c r="E143" s="3">
        <v>2434.73</v>
      </c>
      <c r="F143" s="3">
        <v>1121996411</v>
      </c>
      <c r="G143" s="18">
        <f t="shared" si="2"/>
        <v>24.712643678160916</v>
      </c>
    </row>
    <row r="144" spans="1:7" x14ac:dyDescent="0.2">
      <c r="A144" s="9" t="s">
        <v>121</v>
      </c>
      <c r="B144" s="7">
        <v>2.11</v>
      </c>
      <c r="C144" s="7">
        <v>2.12</v>
      </c>
      <c r="D144" s="3">
        <v>5046672</v>
      </c>
      <c r="E144" s="3">
        <v>2378.63</v>
      </c>
      <c r="F144" s="3">
        <v>1121996411</v>
      </c>
      <c r="G144" s="18">
        <f t="shared" si="2"/>
        <v>21.839080459770123</v>
      </c>
    </row>
    <row r="145" spans="1:7" x14ac:dyDescent="0.2">
      <c r="A145" s="9" t="s">
        <v>120</v>
      </c>
      <c r="B145" s="7">
        <v>2.12</v>
      </c>
      <c r="C145" s="7">
        <v>2.0699999999999998</v>
      </c>
      <c r="D145" s="3">
        <v>4949173</v>
      </c>
      <c r="E145" s="3">
        <v>2322.5300000000002</v>
      </c>
      <c r="F145" s="3">
        <v>1121996411</v>
      </c>
      <c r="G145" s="18">
        <f t="shared" si="2"/>
        <v>18.965517241379303</v>
      </c>
    </row>
    <row r="146" spans="1:7" x14ac:dyDescent="0.2">
      <c r="A146" s="9" t="s">
        <v>119</v>
      </c>
      <c r="B146" s="7">
        <v>2.11</v>
      </c>
      <c r="C146" s="7">
        <v>2.06</v>
      </c>
      <c r="D146" s="3">
        <v>2166266</v>
      </c>
      <c r="E146" s="3">
        <v>2311.31</v>
      </c>
      <c r="F146" s="3">
        <v>1121996411</v>
      </c>
      <c r="G146" s="18">
        <f t="shared" si="2"/>
        <v>18.390804597701152</v>
      </c>
    </row>
    <row r="147" spans="1:7" x14ac:dyDescent="0.2">
      <c r="A147" s="9" t="s">
        <v>118</v>
      </c>
      <c r="B147" s="7">
        <v>2.0299999999999998</v>
      </c>
      <c r="C147" s="7">
        <v>2.02</v>
      </c>
      <c r="D147" s="3">
        <v>2073058</v>
      </c>
      <c r="E147" s="3">
        <v>2266.4299999999998</v>
      </c>
      <c r="F147" s="3">
        <v>1121996411</v>
      </c>
      <c r="G147" s="18">
        <f t="shared" si="2"/>
        <v>16.09195402298851</v>
      </c>
    </row>
    <row r="148" spans="1:7" x14ac:dyDescent="0.2">
      <c r="A148" s="9" t="s">
        <v>117</v>
      </c>
      <c r="B148" s="7">
        <v>2.06</v>
      </c>
      <c r="C148" s="7">
        <v>2.09</v>
      </c>
      <c r="D148" s="3">
        <v>3143619</v>
      </c>
      <c r="E148" s="3">
        <v>2344.9699999999998</v>
      </c>
      <c r="F148" s="3">
        <v>1121996411</v>
      </c>
      <c r="G148" s="18">
        <f t="shared" si="2"/>
        <v>20.114942528735625</v>
      </c>
    </row>
    <row r="149" spans="1:7" x14ac:dyDescent="0.2">
      <c r="A149" s="9" t="s">
        <v>116</v>
      </c>
      <c r="B149" s="7">
        <v>2.12</v>
      </c>
      <c r="C149" s="7">
        <v>2.11</v>
      </c>
      <c r="D149" s="3">
        <v>2917871</v>
      </c>
      <c r="E149" s="3">
        <v>2367.41</v>
      </c>
      <c r="F149" s="3">
        <v>1121996411</v>
      </c>
      <c r="G149" s="18">
        <f t="shared" si="2"/>
        <v>21.264367816091948</v>
      </c>
    </row>
    <row r="150" spans="1:7" x14ac:dyDescent="0.2">
      <c r="A150" s="9" t="s">
        <v>115</v>
      </c>
      <c r="B150" s="7">
        <v>2.0499999999999998</v>
      </c>
      <c r="C150" s="7">
        <v>2.12</v>
      </c>
      <c r="D150" s="3">
        <v>4791445</v>
      </c>
      <c r="E150" s="3">
        <v>2378.63</v>
      </c>
      <c r="F150" s="3">
        <v>1121996411</v>
      </c>
      <c r="G150" s="18">
        <f t="shared" si="2"/>
        <v>21.839080459770123</v>
      </c>
    </row>
    <row r="151" spans="1:7" x14ac:dyDescent="0.2">
      <c r="A151" s="9" t="s">
        <v>114</v>
      </c>
      <c r="B151" s="7">
        <v>2.0699999999999998</v>
      </c>
      <c r="C151" s="7">
        <v>2.08</v>
      </c>
      <c r="D151" s="3">
        <v>2720187</v>
      </c>
      <c r="E151" s="3">
        <v>2333.75</v>
      </c>
      <c r="F151" s="3">
        <v>1121996411</v>
      </c>
      <c r="G151" s="18">
        <f t="shared" si="2"/>
        <v>19.540229885057474</v>
      </c>
    </row>
    <row r="152" spans="1:7" x14ac:dyDescent="0.2">
      <c r="A152" s="9" t="s">
        <v>113</v>
      </c>
      <c r="B152" s="7">
        <v>2.0299999999999998</v>
      </c>
      <c r="C152" s="7">
        <v>2.02</v>
      </c>
      <c r="D152" s="3">
        <v>2921387</v>
      </c>
      <c r="E152" s="3">
        <v>2266.4299999999998</v>
      </c>
      <c r="F152" s="3">
        <v>1121996411</v>
      </c>
      <c r="G152" s="18">
        <f t="shared" si="2"/>
        <v>16.09195402298851</v>
      </c>
    </row>
    <row r="153" spans="1:7" x14ac:dyDescent="0.2">
      <c r="A153" s="9" t="s">
        <v>112</v>
      </c>
      <c r="B153" s="7">
        <v>2.02</v>
      </c>
      <c r="C153" s="7">
        <v>2.0299999999999998</v>
      </c>
      <c r="D153" s="3">
        <v>2981097</v>
      </c>
      <c r="E153" s="3">
        <v>2277.65</v>
      </c>
      <c r="F153" s="3">
        <v>1121996411</v>
      </c>
      <c r="G153" s="18">
        <f t="shared" si="2"/>
        <v>16.666666666666657</v>
      </c>
    </row>
    <row r="154" spans="1:7" x14ac:dyDescent="0.2">
      <c r="A154" s="9" t="s">
        <v>111</v>
      </c>
      <c r="B154" s="7">
        <v>2.0099999999999998</v>
      </c>
      <c r="C154" s="7">
        <v>1.9850000000000001</v>
      </c>
      <c r="D154" s="3">
        <v>1753890</v>
      </c>
      <c r="E154" s="3">
        <v>2227.16</v>
      </c>
      <c r="F154" s="3">
        <v>1121996411</v>
      </c>
      <c r="G154" s="18">
        <f t="shared" si="2"/>
        <v>14.080459770114947</v>
      </c>
    </row>
    <row r="155" spans="1:7" x14ac:dyDescent="0.2">
      <c r="A155" s="9" t="s">
        <v>110</v>
      </c>
      <c r="B155" s="7">
        <v>2.06</v>
      </c>
      <c r="C155" s="7">
        <v>2.06</v>
      </c>
      <c r="D155" s="3">
        <v>2330263</v>
      </c>
      <c r="E155" s="3">
        <v>2311.31</v>
      </c>
      <c r="F155" s="3">
        <v>1121996411</v>
      </c>
      <c r="G155" s="18">
        <f t="shared" si="2"/>
        <v>18.390804597701152</v>
      </c>
    </row>
    <row r="156" spans="1:7" x14ac:dyDescent="0.2">
      <c r="A156" s="9" t="s">
        <v>109</v>
      </c>
      <c r="B156" s="7">
        <v>2.08</v>
      </c>
      <c r="C156" s="7">
        <v>2.04</v>
      </c>
      <c r="D156" s="3">
        <v>2669198</v>
      </c>
      <c r="E156" s="3">
        <v>2288.87</v>
      </c>
      <c r="F156" s="3">
        <v>1121996411</v>
      </c>
      <c r="G156" s="18">
        <f t="shared" si="2"/>
        <v>17.241379310344833</v>
      </c>
    </row>
    <row r="157" spans="1:7" x14ac:dyDescent="0.2">
      <c r="A157" s="9" t="s">
        <v>108</v>
      </c>
      <c r="B157" s="7">
        <v>2.11</v>
      </c>
      <c r="C157" s="7">
        <v>2.21</v>
      </c>
      <c r="D157" s="3">
        <v>44954832</v>
      </c>
      <c r="E157" s="3">
        <v>2479.61</v>
      </c>
      <c r="F157" s="3">
        <v>1121996411</v>
      </c>
      <c r="G157" s="18">
        <f t="shared" si="2"/>
        <v>27.011494252873565</v>
      </c>
    </row>
    <row r="158" spans="1:7" x14ac:dyDescent="0.2">
      <c r="A158" s="9" t="s">
        <v>107</v>
      </c>
      <c r="B158" s="7">
        <v>2.23</v>
      </c>
      <c r="C158" s="7">
        <v>2.2000000000000002</v>
      </c>
      <c r="D158" s="3">
        <v>2835493</v>
      </c>
      <c r="E158" s="3">
        <v>2468.39</v>
      </c>
      <c r="F158" s="3">
        <v>1121996411</v>
      </c>
      <c r="G158" s="18">
        <f t="shared" si="2"/>
        <v>26.436781609195414</v>
      </c>
    </row>
    <row r="159" spans="1:7" x14ac:dyDescent="0.2">
      <c r="A159" s="9" t="s">
        <v>106</v>
      </c>
      <c r="B159" s="7">
        <v>2.2000000000000002</v>
      </c>
      <c r="C159" s="7">
        <v>2.1800000000000002</v>
      </c>
      <c r="D159" s="3">
        <v>3201630</v>
      </c>
      <c r="E159" s="3">
        <v>2445.9499999999998</v>
      </c>
      <c r="F159" s="3">
        <v>1121996411</v>
      </c>
      <c r="G159" s="18">
        <f t="shared" si="2"/>
        <v>25.287356321839088</v>
      </c>
    </row>
    <row r="160" spans="1:7" x14ac:dyDescent="0.2">
      <c r="A160" s="9" t="s">
        <v>105</v>
      </c>
      <c r="B160" s="7">
        <v>2.23</v>
      </c>
      <c r="C160" s="7">
        <v>2.2000000000000002</v>
      </c>
      <c r="D160" s="3">
        <v>3417297</v>
      </c>
      <c r="E160" s="3">
        <v>2468.39</v>
      </c>
      <c r="F160" s="3">
        <v>1121996411</v>
      </c>
      <c r="G160" s="18">
        <f t="shared" si="2"/>
        <v>26.436781609195414</v>
      </c>
    </row>
    <row r="161" spans="1:7" x14ac:dyDescent="0.2">
      <c r="A161" s="9" t="s">
        <v>104</v>
      </c>
      <c r="B161" s="7">
        <v>2.2400000000000002</v>
      </c>
      <c r="C161" s="7">
        <v>2.17</v>
      </c>
      <c r="D161" s="3">
        <v>4505104</v>
      </c>
      <c r="E161" s="3">
        <v>2434.73</v>
      </c>
      <c r="F161" s="3">
        <v>1121996411</v>
      </c>
      <c r="G161" s="18">
        <f t="shared" si="2"/>
        <v>24.712643678160916</v>
      </c>
    </row>
    <row r="162" spans="1:7" x14ac:dyDescent="0.2">
      <c r="A162" s="9" t="s">
        <v>103</v>
      </c>
      <c r="B162" s="7">
        <v>2.21</v>
      </c>
      <c r="C162" s="7">
        <v>2.1800000000000002</v>
      </c>
      <c r="D162" s="3">
        <v>1642928</v>
      </c>
      <c r="E162" s="3">
        <v>2445.9499999999998</v>
      </c>
      <c r="F162" s="3">
        <v>1121996411</v>
      </c>
      <c r="G162" s="18">
        <f t="shared" si="2"/>
        <v>25.287356321839088</v>
      </c>
    </row>
    <row r="163" spans="1:7" x14ac:dyDescent="0.2">
      <c r="A163" s="9" t="s">
        <v>102</v>
      </c>
      <c r="B163" s="7">
        <v>2.19</v>
      </c>
      <c r="C163" s="7">
        <v>2.21</v>
      </c>
      <c r="D163" s="3">
        <v>2714189</v>
      </c>
      <c r="E163" s="3">
        <v>2479.61</v>
      </c>
      <c r="F163" s="3">
        <v>1121996411</v>
      </c>
      <c r="G163" s="18">
        <f t="shared" si="2"/>
        <v>27.011494252873565</v>
      </c>
    </row>
    <row r="164" spans="1:7" x14ac:dyDescent="0.2">
      <c r="A164" s="9" t="s">
        <v>101</v>
      </c>
      <c r="B164" s="7">
        <v>2.23</v>
      </c>
      <c r="C164" s="7">
        <v>2.2200000000000002</v>
      </c>
      <c r="D164" s="3">
        <v>1983252</v>
      </c>
      <c r="E164" s="3">
        <v>2490.83</v>
      </c>
      <c r="F164" s="3">
        <v>1121996411</v>
      </c>
      <c r="G164" s="18">
        <f t="shared" si="2"/>
        <v>27.586206896551737</v>
      </c>
    </row>
    <row r="165" spans="1:7" x14ac:dyDescent="0.2">
      <c r="A165" s="9" t="s">
        <v>100</v>
      </c>
      <c r="B165" s="7">
        <v>2.21</v>
      </c>
      <c r="C165" s="7">
        <v>2.2000000000000002</v>
      </c>
      <c r="D165" s="3">
        <v>1613904</v>
      </c>
      <c r="E165" s="3">
        <v>2468.39</v>
      </c>
      <c r="F165" s="3">
        <v>1121996411</v>
      </c>
      <c r="G165" s="18">
        <f t="shared" si="2"/>
        <v>26.436781609195414</v>
      </c>
    </row>
    <row r="166" spans="1:7" x14ac:dyDescent="0.2">
      <c r="A166" s="9" t="s">
        <v>99</v>
      </c>
      <c r="B166" s="7">
        <v>2.2400000000000002</v>
      </c>
      <c r="C166" s="7">
        <v>2.2000000000000002</v>
      </c>
      <c r="D166" s="3">
        <v>2159662</v>
      </c>
      <c r="E166" s="3">
        <v>2468.39</v>
      </c>
      <c r="F166" s="3">
        <v>1121996411</v>
      </c>
      <c r="G166" s="18">
        <f t="shared" si="2"/>
        <v>26.436781609195414</v>
      </c>
    </row>
    <row r="167" spans="1:7" x14ac:dyDescent="0.2">
      <c r="A167" s="9" t="s">
        <v>98</v>
      </c>
      <c r="B167" s="7">
        <v>2.19</v>
      </c>
      <c r="C167" s="7">
        <v>2.19</v>
      </c>
      <c r="D167" s="3">
        <v>2023458</v>
      </c>
      <c r="E167" s="3">
        <v>2457.17</v>
      </c>
      <c r="F167" s="3">
        <v>1121996411</v>
      </c>
      <c r="G167" s="18">
        <f t="shared" si="2"/>
        <v>25.862068965517238</v>
      </c>
    </row>
    <row r="168" spans="1:7" x14ac:dyDescent="0.2">
      <c r="A168" s="9" t="s">
        <v>97</v>
      </c>
      <c r="B168" s="7">
        <v>2.2000000000000002</v>
      </c>
      <c r="C168" s="7">
        <v>2.19</v>
      </c>
      <c r="D168" s="3">
        <v>2898292</v>
      </c>
      <c r="E168" s="3">
        <v>2457.17</v>
      </c>
      <c r="F168" s="3">
        <v>1121996411</v>
      </c>
      <c r="G168" s="18">
        <f t="shared" si="2"/>
        <v>25.862068965517238</v>
      </c>
    </row>
    <row r="169" spans="1:7" x14ac:dyDescent="0.2">
      <c r="A169" s="9" t="s">
        <v>96</v>
      </c>
      <c r="B169" s="7">
        <v>2.15</v>
      </c>
      <c r="C169" s="7">
        <v>2.14</v>
      </c>
      <c r="D169" s="3">
        <v>4115264</v>
      </c>
      <c r="E169" s="3">
        <v>2401.0700000000002</v>
      </c>
      <c r="F169" s="3">
        <v>1121996411</v>
      </c>
      <c r="G169" s="18">
        <f t="shared" si="2"/>
        <v>22.988505747126446</v>
      </c>
    </row>
    <row r="170" spans="1:7" x14ac:dyDescent="0.2">
      <c r="A170" s="9" t="s">
        <v>95</v>
      </c>
      <c r="B170" s="7">
        <v>2.16</v>
      </c>
      <c r="C170" s="7">
        <v>2.27</v>
      </c>
      <c r="D170" s="3">
        <v>4184964</v>
      </c>
      <c r="E170" s="3">
        <v>2546.9299999999998</v>
      </c>
      <c r="F170" s="3">
        <v>1121996411</v>
      </c>
      <c r="G170" s="18">
        <f t="shared" si="2"/>
        <v>30.459770114942529</v>
      </c>
    </row>
    <row r="171" spans="1:7" x14ac:dyDescent="0.2">
      <c r="A171" s="9" t="s">
        <v>94</v>
      </c>
      <c r="B171" s="7">
        <v>2.21</v>
      </c>
      <c r="C171" s="7">
        <v>2.2000000000000002</v>
      </c>
      <c r="D171" s="3">
        <v>3529342</v>
      </c>
      <c r="E171" s="3">
        <v>2468.39</v>
      </c>
      <c r="F171" s="3">
        <v>1121996411</v>
      </c>
      <c r="G171" s="18">
        <f t="shared" si="2"/>
        <v>26.436781609195414</v>
      </c>
    </row>
    <row r="172" spans="1:7" x14ac:dyDescent="0.2">
      <c r="A172" s="9" t="s">
        <v>93</v>
      </c>
      <c r="B172" s="7">
        <v>2.2000000000000002</v>
      </c>
      <c r="C172" s="7">
        <v>2.19</v>
      </c>
      <c r="D172" s="3">
        <v>4459257</v>
      </c>
      <c r="E172" s="3">
        <v>2457.17</v>
      </c>
      <c r="F172" s="3">
        <v>1121996411</v>
      </c>
      <c r="G172" s="18">
        <f t="shared" si="2"/>
        <v>25.862068965517238</v>
      </c>
    </row>
    <row r="173" spans="1:7" x14ac:dyDescent="0.2">
      <c r="A173" s="9" t="s">
        <v>92</v>
      </c>
      <c r="B173" s="7">
        <v>2.13</v>
      </c>
      <c r="C173" s="7">
        <v>2.0699999999999998</v>
      </c>
      <c r="D173" s="3">
        <v>3934080</v>
      </c>
      <c r="E173" s="3">
        <v>2322.5300000000002</v>
      </c>
      <c r="F173" s="3">
        <v>1121996411</v>
      </c>
      <c r="G173" s="18">
        <f t="shared" si="2"/>
        <v>18.965517241379303</v>
      </c>
    </row>
    <row r="174" spans="1:7" x14ac:dyDescent="0.2">
      <c r="A174" s="9" t="s">
        <v>91</v>
      </c>
      <c r="B174" s="7">
        <v>2.09</v>
      </c>
      <c r="C174" s="7">
        <v>2.14</v>
      </c>
      <c r="D174" s="3">
        <v>4487720</v>
      </c>
      <c r="E174" s="3">
        <v>2401.0700000000002</v>
      </c>
      <c r="F174" s="3">
        <v>1121996411</v>
      </c>
      <c r="G174" s="18">
        <f t="shared" si="2"/>
        <v>22.988505747126446</v>
      </c>
    </row>
    <row r="175" spans="1:7" x14ac:dyDescent="0.2">
      <c r="A175" s="9" t="s">
        <v>90</v>
      </c>
      <c r="B175" s="7">
        <v>2.15</v>
      </c>
      <c r="C175" s="7">
        <v>2.1800000000000002</v>
      </c>
      <c r="D175" s="3">
        <v>4379793</v>
      </c>
      <c r="E175" s="3">
        <v>2445.9499999999998</v>
      </c>
      <c r="F175" s="3">
        <v>1121996411</v>
      </c>
      <c r="G175" s="18">
        <f t="shared" si="2"/>
        <v>25.287356321839088</v>
      </c>
    </row>
    <row r="176" spans="1:7" x14ac:dyDescent="0.2">
      <c r="A176" s="9" t="s">
        <v>89</v>
      </c>
      <c r="B176" s="7">
        <v>2.14</v>
      </c>
      <c r="C176" s="7">
        <v>2.0699999999999998</v>
      </c>
      <c r="D176" s="3">
        <v>3873791</v>
      </c>
      <c r="E176" s="3">
        <v>2335.5700000000002</v>
      </c>
      <c r="F176" s="3">
        <v>1128297058</v>
      </c>
      <c r="G176" s="18">
        <f t="shared" si="2"/>
        <v>18.965517241379303</v>
      </c>
    </row>
    <row r="177" spans="1:7" x14ac:dyDescent="0.2">
      <c r="A177" s="9" t="s">
        <v>88</v>
      </c>
      <c r="B177" s="7">
        <v>2.09</v>
      </c>
      <c r="C177" s="7">
        <v>2.11</v>
      </c>
      <c r="D177" s="3">
        <v>3258693</v>
      </c>
      <c r="E177" s="3">
        <v>2380.71</v>
      </c>
      <c r="F177" s="3">
        <v>1128297058</v>
      </c>
      <c r="G177" s="18">
        <f t="shared" si="2"/>
        <v>21.264367816091948</v>
      </c>
    </row>
    <row r="178" spans="1:7" x14ac:dyDescent="0.2">
      <c r="A178" s="9" t="s">
        <v>87</v>
      </c>
      <c r="B178" s="7">
        <v>2.14</v>
      </c>
      <c r="C178" s="7">
        <v>2.11</v>
      </c>
      <c r="D178" s="3">
        <v>3065109</v>
      </c>
      <c r="E178" s="3">
        <v>2380.71</v>
      </c>
      <c r="F178" s="3">
        <v>1128297058</v>
      </c>
      <c r="G178" s="18">
        <f t="shared" si="2"/>
        <v>21.264367816091948</v>
      </c>
    </row>
    <row r="179" spans="1:7" x14ac:dyDescent="0.2">
      <c r="A179" s="9" t="s">
        <v>86</v>
      </c>
      <c r="B179" s="7">
        <v>2.14</v>
      </c>
      <c r="C179" s="7">
        <v>2.15</v>
      </c>
      <c r="D179" s="3">
        <v>3263343</v>
      </c>
      <c r="E179" s="3">
        <v>2425.84</v>
      </c>
      <c r="F179" s="3">
        <v>1128297058</v>
      </c>
      <c r="G179" s="18">
        <f t="shared" si="2"/>
        <v>23.563218390804593</v>
      </c>
    </row>
    <row r="180" spans="1:7" x14ac:dyDescent="0.2">
      <c r="A180" s="9" t="s">
        <v>85</v>
      </c>
      <c r="B180" s="7">
        <v>2.23</v>
      </c>
      <c r="C180" s="7">
        <v>2.2000000000000002</v>
      </c>
      <c r="D180" s="3">
        <v>6815223</v>
      </c>
      <c r="E180" s="3">
        <v>2482.25</v>
      </c>
      <c r="F180" s="3">
        <v>1128297058</v>
      </c>
      <c r="G180" s="18">
        <f t="shared" si="2"/>
        <v>26.436781609195414</v>
      </c>
    </row>
    <row r="181" spans="1:7" x14ac:dyDescent="0.2">
      <c r="A181" s="9" t="s">
        <v>84</v>
      </c>
      <c r="B181" s="7">
        <v>2.21</v>
      </c>
      <c r="C181" s="7">
        <v>2.17</v>
      </c>
      <c r="D181" s="3">
        <v>4441009</v>
      </c>
      <c r="E181" s="3">
        <v>2448.4</v>
      </c>
      <c r="F181" s="3">
        <v>1128297058</v>
      </c>
      <c r="G181" s="18">
        <f t="shared" si="2"/>
        <v>24.712643678160916</v>
      </c>
    </row>
    <row r="182" spans="1:7" x14ac:dyDescent="0.2">
      <c r="A182" s="9" t="s">
        <v>83</v>
      </c>
      <c r="B182" s="7">
        <v>2.19</v>
      </c>
      <c r="C182" s="7">
        <v>2.11</v>
      </c>
      <c r="D182" s="3">
        <v>4342126</v>
      </c>
      <c r="E182" s="3">
        <v>2381.0300000000002</v>
      </c>
      <c r="F182" s="3">
        <v>1128451608</v>
      </c>
      <c r="G182" s="18">
        <f t="shared" si="2"/>
        <v>21.264367816091948</v>
      </c>
    </row>
    <row r="183" spans="1:7" x14ac:dyDescent="0.2">
      <c r="A183" s="9" t="s">
        <v>82</v>
      </c>
      <c r="B183" s="7">
        <v>2.08</v>
      </c>
      <c r="C183" s="7">
        <v>2.1</v>
      </c>
      <c r="D183" s="3">
        <v>4569170</v>
      </c>
      <c r="E183" s="3">
        <v>2369.75</v>
      </c>
      <c r="F183" s="3">
        <v>1128451608</v>
      </c>
      <c r="G183" s="18">
        <f t="shared" si="2"/>
        <v>20.689655172413797</v>
      </c>
    </row>
    <row r="184" spans="1:7" x14ac:dyDescent="0.2">
      <c r="A184" s="9" t="s">
        <v>81</v>
      </c>
      <c r="B184" s="7">
        <v>2.1</v>
      </c>
      <c r="C184" s="7">
        <v>2.12</v>
      </c>
      <c r="D184" s="3">
        <v>4927386</v>
      </c>
      <c r="E184" s="3">
        <v>2392.3200000000002</v>
      </c>
      <c r="F184" s="3">
        <v>1128451608</v>
      </c>
      <c r="G184" s="18">
        <f t="shared" si="2"/>
        <v>21.839080459770123</v>
      </c>
    </row>
    <row r="185" spans="1:7" x14ac:dyDescent="0.2">
      <c r="A185" s="9" t="s">
        <v>80</v>
      </c>
      <c r="B185" s="7">
        <v>2.14</v>
      </c>
      <c r="C185" s="7">
        <v>2.11</v>
      </c>
      <c r="D185" s="3">
        <v>16905572</v>
      </c>
      <c r="E185" s="3">
        <v>2381.0300000000002</v>
      </c>
      <c r="F185" s="3">
        <v>1128451608</v>
      </c>
      <c r="G185" s="18">
        <f t="shared" si="2"/>
        <v>21.264367816091948</v>
      </c>
    </row>
    <row r="186" spans="1:7" x14ac:dyDescent="0.2">
      <c r="A186" s="9" t="s">
        <v>79</v>
      </c>
      <c r="B186" s="7">
        <v>2.11</v>
      </c>
      <c r="C186" s="7">
        <v>2.11</v>
      </c>
      <c r="D186" s="3">
        <v>3651624</v>
      </c>
      <c r="E186" s="3">
        <v>2381.0300000000002</v>
      </c>
      <c r="F186" s="3">
        <v>1128451608</v>
      </c>
      <c r="G186" s="18">
        <f t="shared" si="2"/>
        <v>21.264367816091948</v>
      </c>
    </row>
    <row r="187" spans="1:7" x14ac:dyDescent="0.2">
      <c r="A187" s="9" t="s">
        <v>78</v>
      </c>
      <c r="B187" s="7">
        <v>2.0699999999999998</v>
      </c>
      <c r="C187" s="7">
        <v>2.0699999999999998</v>
      </c>
      <c r="D187" s="3">
        <v>5491680</v>
      </c>
      <c r="E187" s="3">
        <v>2335.89</v>
      </c>
      <c r="F187" s="3">
        <v>1128451608</v>
      </c>
      <c r="G187" s="18">
        <f t="shared" si="2"/>
        <v>18.965517241379303</v>
      </c>
    </row>
    <row r="188" spans="1:7" x14ac:dyDescent="0.2">
      <c r="A188" s="9" t="s">
        <v>77</v>
      </c>
      <c r="B188" s="7">
        <v>2.14</v>
      </c>
      <c r="C188" s="7">
        <v>2.1</v>
      </c>
      <c r="D188" s="3">
        <v>4713110</v>
      </c>
      <c r="E188" s="3">
        <v>2369.75</v>
      </c>
      <c r="F188" s="3">
        <v>1128451608</v>
      </c>
      <c r="G188" s="18">
        <f t="shared" si="2"/>
        <v>20.689655172413797</v>
      </c>
    </row>
    <row r="189" spans="1:7" x14ac:dyDescent="0.2">
      <c r="A189" s="9" t="s">
        <v>76</v>
      </c>
      <c r="B189" s="7">
        <v>2.13</v>
      </c>
      <c r="C189" s="7">
        <v>2.15</v>
      </c>
      <c r="D189" s="3">
        <v>4492014</v>
      </c>
      <c r="E189" s="3">
        <v>2426.17</v>
      </c>
      <c r="F189" s="3">
        <v>1128451608</v>
      </c>
      <c r="G189" s="18">
        <f t="shared" si="2"/>
        <v>23.563218390804593</v>
      </c>
    </row>
    <row r="190" spans="1:7" x14ac:dyDescent="0.2">
      <c r="A190" s="9" t="s">
        <v>75</v>
      </c>
      <c r="B190" s="7">
        <v>2.11</v>
      </c>
      <c r="C190" s="7">
        <v>2.15</v>
      </c>
      <c r="D190" s="3">
        <v>4089913</v>
      </c>
      <c r="E190" s="3">
        <v>2426.17</v>
      </c>
      <c r="F190" s="3">
        <v>1128451608</v>
      </c>
      <c r="G190" s="18">
        <f t="shared" si="2"/>
        <v>23.563218390804593</v>
      </c>
    </row>
    <row r="191" spans="1:7" x14ac:dyDescent="0.2">
      <c r="A191" s="9" t="s">
        <v>74</v>
      </c>
      <c r="B191" s="7">
        <v>2.14</v>
      </c>
      <c r="C191" s="7">
        <v>2.06</v>
      </c>
      <c r="D191" s="3">
        <v>5991535</v>
      </c>
      <c r="E191" s="3">
        <v>2324.61</v>
      </c>
      <c r="F191" s="3">
        <v>1128451608</v>
      </c>
      <c r="G191" s="18">
        <f t="shared" si="2"/>
        <v>18.390804597701152</v>
      </c>
    </row>
    <row r="192" spans="1:7" x14ac:dyDescent="0.2">
      <c r="A192" s="9" t="s">
        <v>73</v>
      </c>
      <c r="B192" s="7">
        <v>2.04</v>
      </c>
      <c r="C192" s="7">
        <v>2.04</v>
      </c>
      <c r="D192" s="3">
        <v>3004706</v>
      </c>
      <c r="E192" s="3">
        <v>2302.04</v>
      </c>
      <c r="F192" s="3">
        <v>1128451608</v>
      </c>
      <c r="G192" s="18">
        <f t="shared" si="2"/>
        <v>17.241379310344833</v>
      </c>
    </row>
    <row r="193" spans="1:7" x14ac:dyDescent="0.2">
      <c r="A193" s="9" t="s">
        <v>72</v>
      </c>
      <c r="B193" s="7">
        <v>2.08</v>
      </c>
      <c r="C193" s="7">
        <v>2.09</v>
      </c>
      <c r="D193" s="3">
        <v>4624069</v>
      </c>
      <c r="E193" s="3">
        <v>2358.46</v>
      </c>
      <c r="F193" s="3">
        <v>1128451608</v>
      </c>
      <c r="G193" s="18">
        <f t="shared" si="2"/>
        <v>20.114942528735625</v>
      </c>
    </row>
    <row r="194" spans="1:7" x14ac:dyDescent="0.2">
      <c r="A194" s="9" t="s">
        <v>71</v>
      </c>
      <c r="B194" s="7">
        <v>2.08</v>
      </c>
      <c r="C194" s="7">
        <v>2.02</v>
      </c>
      <c r="D194" s="3">
        <v>2495368</v>
      </c>
      <c r="E194" s="3">
        <v>2279.4699999999998</v>
      </c>
      <c r="F194" s="3">
        <v>1128451608</v>
      </c>
      <c r="G194" s="18">
        <f t="shared" si="2"/>
        <v>16.09195402298851</v>
      </c>
    </row>
    <row r="195" spans="1:7" x14ac:dyDescent="0.2">
      <c r="A195" s="9" t="s">
        <v>70</v>
      </c>
      <c r="B195" s="7">
        <v>2.02</v>
      </c>
      <c r="C195" s="7">
        <v>2.04</v>
      </c>
      <c r="D195" s="3">
        <v>2738137</v>
      </c>
      <c r="E195" s="3">
        <v>2302.04</v>
      </c>
      <c r="F195" s="3">
        <v>1128451608</v>
      </c>
      <c r="G195" s="18">
        <f t="shared" ref="G195:G255" si="3">((C195-$C$2)/$C$2)*100</f>
        <v>17.241379310344833</v>
      </c>
    </row>
    <row r="196" spans="1:7" x14ac:dyDescent="0.2">
      <c r="A196" s="9" t="s">
        <v>69</v>
      </c>
      <c r="B196" s="7">
        <v>2.04</v>
      </c>
      <c r="C196" s="7">
        <v>2.02</v>
      </c>
      <c r="D196" s="3">
        <v>2157597</v>
      </c>
      <c r="E196" s="3">
        <v>2279.4699999999998</v>
      </c>
      <c r="F196" s="3">
        <v>1128451608</v>
      </c>
      <c r="G196" s="18">
        <f t="shared" si="3"/>
        <v>16.09195402298851</v>
      </c>
    </row>
    <row r="197" spans="1:7" x14ac:dyDescent="0.2">
      <c r="A197" s="9" t="s">
        <v>68</v>
      </c>
      <c r="B197" s="7">
        <v>1.9950000000000001</v>
      </c>
      <c r="C197" s="7">
        <v>2.0099999999999998</v>
      </c>
      <c r="D197" s="3">
        <v>2128136</v>
      </c>
      <c r="E197" s="3">
        <v>2268.19</v>
      </c>
      <c r="F197" s="3">
        <v>1128451608</v>
      </c>
      <c r="G197" s="18">
        <f t="shared" si="3"/>
        <v>15.517241379310335</v>
      </c>
    </row>
    <row r="198" spans="1:7" x14ac:dyDescent="0.2">
      <c r="A198" s="9" t="s">
        <v>67</v>
      </c>
      <c r="B198" s="7">
        <v>1.98</v>
      </c>
      <c r="C198" s="7">
        <v>1.9950000000000001</v>
      </c>
      <c r="D198" s="3">
        <v>1690731</v>
      </c>
      <c r="E198" s="3">
        <v>2251.2600000000002</v>
      </c>
      <c r="F198" s="3">
        <v>1128451608</v>
      </c>
      <c r="G198" s="18">
        <f t="shared" si="3"/>
        <v>14.65517241379311</v>
      </c>
    </row>
    <row r="199" spans="1:7" x14ac:dyDescent="0.2">
      <c r="A199" s="9" t="s">
        <v>66</v>
      </c>
      <c r="B199" s="7">
        <v>2.02</v>
      </c>
      <c r="C199" s="7">
        <v>2.0299999999999998</v>
      </c>
      <c r="D199" s="3">
        <v>1385526</v>
      </c>
      <c r="E199" s="3">
        <v>2290.7600000000002</v>
      </c>
      <c r="F199" s="3">
        <v>1128451608</v>
      </c>
      <c r="G199" s="18">
        <f t="shared" si="3"/>
        <v>16.666666666666657</v>
      </c>
    </row>
    <row r="200" spans="1:7" x14ac:dyDescent="0.2">
      <c r="A200" s="9" t="s">
        <v>65</v>
      </c>
      <c r="B200" s="7">
        <v>2.0499999999999998</v>
      </c>
      <c r="C200" s="7">
        <v>2.0699999999999998</v>
      </c>
      <c r="D200" s="3">
        <v>2434260</v>
      </c>
      <c r="E200" s="3">
        <v>2335.89</v>
      </c>
      <c r="F200" s="3">
        <v>1128451608</v>
      </c>
      <c r="G200" s="18">
        <f t="shared" si="3"/>
        <v>18.965517241379303</v>
      </c>
    </row>
    <row r="201" spans="1:7" x14ac:dyDescent="0.2">
      <c r="A201" s="9" t="s">
        <v>64</v>
      </c>
      <c r="B201" s="7">
        <v>2.09</v>
      </c>
      <c r="C201" s="7">
        <v>2.0499999999999998</v>
      </c>
      <c r="D201" s="3">
        <v>2766684</v>
      </c>
      <c r="E201" s="3">
        <v>2313.33</v>
      </c>
      <c r="F201" s="3">
        <v>1128451608</v>
      </c>
      <c r="G201" s="18">
        <f t="shared" si="3"/>
        <v>17.816091954022976</v>
      </c>
    </row>
    <row r="202" spans="1:7" x14ac:dyDescent="0.2">
      <c r="A202" s="9" t="s">
        <v>63</v>
      </c>
      <c r="B202" s="7">
        <v>2.08</v>
      </c>
      <c r="C202" s="7">
        <v>2.08</v>
      </c>
      <c r="D202" s="3">
        <v>2450242</v>
      </c>
      <c r="E202" s="3">
        <v>2347.1799999999998</v>
      </c>
      <c r="F202" s="3">
        <v>1128451608</v>
      </c>
      <c r="G202" s="18">
        <f t="shared" si="3"/>
        <v>19.540229885057474</v>
      </c>
    </row>
    <row r="203" spans="1:7" x14ac:dyDescent="0.2">
      <c r="A203" s="9" t="s">
        <v>62</v>
      </c>
      <c r="B203" s="7">
        <v>2.12</v>
      </c>
      <c r="C203" s="7">
        <v>2.19</v>
      </c>
      <c r="D203" s="3">
        <v>4890832</v>
      </c>
      <c r="E203" s="3">
        <v>2471.31</v>
      </c>
      <c r="F203" s="3">
        <v>1128451608</v>
      </c>
      <c r="G203" s="18">
        <f t="shared" si="3"/>
        <v>25.862068965517238</v>
      </c>
    </row>
    <row r="204" spans="1:7" x14ac:dyDescent="0.2">
      <c r="A204" s="9" t="s">
        <v>61</v>
      </c>
      <c r="B204" s="7">
        <v>2.2400000000000002</v>
      </c>
      <c r="C204" s="7">
        <v>2.3199999999999998</v>
      </c>
      <c r="D204" s="3">
        <v>11871902</v>
      </c>
      <c r="E204" s="3">
        <v>2618.0100000000002</v>
      </c>
      <c r="F204" s="3">
        <v>1128451608</v>
      </c>
      <c r="G204" s="18">
        <f t="shared" si="3"/>
        <v>33.333333333333329</v>
      </c>
    </row>
    <row r="205" spans="1:7" x14ac:dyDescent="0.2">
      <c r="A205" s="9" t="s">
        <v>60</v>
      </c>
      <c r="B205" s="7">
        <v>2.2999999999999998</v>
      </c>
      <c r="C205" s="7">
        <v>2.2999999999999998</v>
      </c>
      <c r="D205" s="3">
        <v>42702149</v>
      </c>
      <c r="E205" s="3">
        <v>2595.44</v>
      </c>
      <c r="F205" s="3">
        <v>1128451608</v>
      </c>
      <c r="G205" s="18">
        <f t="shared" si="3"/>
        <v>32.183908045976999</v>
      </c>
    </row>
    <row r="206" spans="1:7" x14ac:dyDescent="0.2">
      <c r="A206" s="9" t="s">
        <v>59</v>
      </c>
      <c r="B206" s="7">
        <v>2.4</v>
      </c>
      <c r="C206" s="7">
        <v>2.4700000000000002</v>
      </c>
      <c r="D206" s="3">
        <v>5538373</v>
      </c>
      <c r="E206" s="3">
        <v>2787.28</v>
      </c>
      <c r="F206" s="3">
        <v>1128451608</v>
      </c>
      <c r="G206" s="18">
        <f t="shared" si="3"/>
        <v>41.954022988505756</v>
      </c>
    </row>
    <row r="207" spans="1:7" x14ac:dyDescent="0.2">
      <c r="A207" s="9" t="s">
        <v>58</v>
      </c>
      <c r="B207" s="7">
        <v>2.4300000000000002</v>
      </c>
      <c r="C207" s="7">
        <v>2.4900000000000002</v>
      </c>
      <c r="D207" s="3">
        <v>4257193</v>
      </c>
      <c r="E207" s="3">
        <v>2809.84</v>
      </c>
      <c r="F207" s="3">
        <v>1128451608</v>
      </c>
      <c r="G207" s="18">
        <f t="shared" si="3"/>
        <v>43.103448275862085</v>
      </c>
    </row>
    <row r="208" spans="1:7" x14ac:dyDescent="0.2">
      <c r="A208" s="9" t="s">
        <v>57</v>
      </c>
      <c r="B208" s="7">
        <v>2.4700000000000002</v>
      </c>
      <c r="C208" s="7">
        <v>2.56</v>
      </c>
      <c r="D208" s="3">
        <v>7551288</v>
      </c>
      <c r="E208" s="3">
        <v>2888.84</v>
      </c>
      <c r="F208" s="3">
        <v>1128451608</v>
      </c>
      <c r="G208" s="18">
        <f t="shared" si="3"/>
        <v>47.1264367816092</v>
      </c>
    </row>
    <row r="209" spans="1:7" x14ac:dyDescent="0.2">
      <c r="A209" s="9" t="s">
        <v>56</v>
      </c>
      <c r="B209" s="7">
        <v>2.4900000000000002</v>
      </c>
      <c r="C209" s="7">
        <v>2.4900000000000002</v>
      </c>
      <c r="D209" s="3">
        <v>4814698</v>
      </c>
      <c r="E209" s="3">
        <v>2810.09</v>
      </c>
      <c r="F209" s="3">
        <v>1128548275</v>
      </c>
      <c r="G209" s="18">
        <f t="shared" si="3"/>
        <v>43.103448275862085</v>
      </c>
    </row>
    <row r="210" spans="1:7" x14ac:dyDescent="0.2">
      <c r="A210" s="9" t="s">
        <v>55</v>
      </c>
      <c r="B210" s="7">
        <v>2.4700000000000002</v>
      </c>
      <c r="C210" s="7">
        <v>2.5299999999999998</v>
      </c>
      <c r="D210" s="3">
        <v>3463120</v>
      </c>
      <c r="E210" s="3">
        <v>2855.23</v>
      </c>
      <c r="F210" s="3">
        <v>1128548275</v>
      </c>
      <c r="G210" s="18">
        <f t="shared" si="3"/>
        <v>45.402298850574702</v>
      </c>
    </row>
    <row r="211" spans="1:7" x14ac:dyDescent="0.2">
      <c r="A211" s="9" t="s">
        <v>54</v>
      </c>
      <c r="B211" s="7">
        <v>2.5</v>
      </c>
      <c r="C211" s="7">
        <v>2.44</v>
      </c>
      <c r="D211" s="3">
        <v>3246009</v>
      </c>
      <c r="E211" s="3">
        <v>2753.66</v>
      </c>
      <c r="F211" s="3">
        <v>1128548275</v>
      </c>
      <c r="G211" s="18">
        <f t="shared" si="3"/>
        <v>40.229885057471257</v>
      </c>
    </row>
    <row r="212" spans="1:7" x14ac:dyDescent="0.2">
      <c r="A212" s="9" t="s">
        <v>53</v>
      </c>
      <c r="B212" s="7">
        <v>2.46</v>
      </c>
      <c r="C212" s="7">
        <v>2.4700000000000002</v>
      </c>
      <c r="D212" s="3">
        <v>3844996</v>
      </c>
      <c r="E212" s="3">
        <v>2787.51</v>
      </c>
      <c r="F212" s="3">
        <v>1128548275</v>
      </c>
      <c r="G212" s="18">
        <f t="shared" si="3"/>
        <v>41.954022988505756</v>
      </c>
    </row>
    <row r="213" spans="1:7" x14ac:dyDescent="0.2">
      <c r="A213" s="9" t="s">
        <v>52</v>
      </c>
      <c r="B213" s="7">
        <v>2.5</v>
      </c>
      <c r="C213" s="7">
        <v>2.44</v>
      </c>
      <c r="D213" s="3">
        <v>5448323</v>
      </c>
      <c r="E213" s="3">
        <v>2753.66</v>
      </c>
      <c r="F213" s="3">
        <v>1128548275</v>
      </c>
      <c r="G213" s="18">
        <f t="shared" si="3"/>
        <v>40.229885057471257</v>
      </c>
    </row>
    <row r="214" spans="1:7" x14ac:dyDescent="0.2">
      <c r="A214" s="9" t="s">
        <v>51</v>
      </c>
      <c r="B214" s="7">
        <v>2.4</v>
      </c>
      <c r="C214" s="7">
        <v>2.4500000000000002</v>
      </c>
      <c r="D214" s="3">
        <v>2881964</v>
      </c>
      <c r="E214" s="3">
        <v>2764.94</v>
      </c>
      <c r="F214" s="3">
        <v>1128548275</v>
      </c>
      <c r="G214" s="18">
        <f t="shared" si="3"/>
        <v>40.804597701149433</v>
      </c>
    </row>
    <row r="215" spans="1:7" x14ac:dyDescent="0.2">
      <c r="A215" s="9" t="s">
        <v>50</v>
      </c>
      <c r="B215" s="7">
        <v>2.4</v>
      </c>
      <c r="C215" s="7">
        <v>2.34</v>
      </c>
      <c r="D215" s="3">
        <v>3413532</v>
      </c>
      <c r="E215" s="3">
        <v>2640.8</v>
      </c>
      <c r="F215" s="3">
        <v>1128548275</v>
      </c>
      <c r="G215" s="18">
        <f t="shared" si="3"/>
        <v>34.482758620689644</v>
      </c>
    </row>
    <row r="216" spans="1:7" x14ac:dyDescent="0.2">
      <c r="A216" s="9" t="s">
        <v>49</v>
      </c>
      <c r="B216" s="7">
        <v>2.34</v>
      </c>
      <c r="C216" s="7">
        <v>2.3199999999999998</v>
      </c>
      <c r="D216" s="3">
        <v>2755834</v>
      </c>
      <c r="E216" s="3">
        <v>2618.23</v>
      </c>
      <c r="F216" s="3">
        <v>1128548275</v>
      </c>
      <c r="G216" s="18">
        <f t="shared" si="3"/>
        <v>33.333333333333329</v>
      </c>
    </row>
    <row r="217" spans="1:7" x14ac:dyDescent="0.2">
      <c r="A217" s="9" t="s">
        <v>48</v>
      </c>
      <c r="B217" s="7">
        <v>2.2999999999999998</v>
      </c>
      <c r="C217" s="7">
        <v>2.2599999999999998</v>
      </c>
      <c r="D217" s="3">
        <v>1899409</v>
      </c>
      <c r="E217" s="3">
        <v>2550.52</v>
      </c>
      <c r="F217" s="3">
        <v>1128548275</v>
      </c>
      <c r="G217" s="18">
        <f t="shared" si="3"/>
        <v>29.885057471264354</v>
      </c>
    </row>
    <row r="218" spans="1:7" x14ac:dyDescent="0.2">
      <c r="A218" s="9" t="s">
        <v>47</v>
      </c>
      <c r="B218" s="7">
        <v>2.2599999999999998</v>
      </c>
      <c r="C218" s="7">
        <v>2.23</v>
      </c>
      <c r="D218" s="3">
        <v>3603986</v>
      </c>
      <c r="E218" s="3">
        <v>2516.66</v>
      </c>
      <c r="F218" s="3">
        <v>1128548275</v>
      </c>
      <c r="G218" s="18">
        <f t="shared" si="3"/>
        <v>28.160919540229884</v>
      </c>
    </row>
    <row r="219" spans="1:7" x14ac:dyDescent="0.2">
      <c r="A219" s="9" t="s">
        <v>46</v>
      </c>
      <c r="B219" s="7">
        <v>2.17</v>
      </c>
      <c r="C219" s="7">
        <v>2.14</v>
      </c>
      <c r="D219" s="3">
        <v>7539723</v>
      </c>
      <c r="E219" s="3">
        <v>2415.09</v>
      </c>
      <c r="F219" s="3">
        <v>1128548275</v>
      </c>
      <c r="G219" s="18">
        <f t="shared" si="3"/>
        <v>22.988505747126446</v>
      </c>
    </row>
    <row r="220" spans="1:7" x14ac:dyDescent="0.2">
      <c r="A220" s="9" t="s">
        <v>45</v>
      </c>
      <c r="B220" s="7">
        <v>2.19</v>
      </c>
      <c r="C220" s="7">
        <v>2.2400000000000002</v>
      </c>
      <c r="D220" s="3">
        <v>6161301</v>
      </c>
      <c r="E220" s="3">
        <v>2527.9499999999998</v>
      </c>
      <c r="F220" s="3">
        <v>1128548275</v>
      </c>
      <c r="G220" s="18">
        <f t="shared" si="3"/>
        <v>28.735632183908059</v>
      </c>
    </row>
    <row r="221" spans="1:7" x14ac:dyDescent="0.2">
      <c r="A221" s="9" t="s">
        <v>44</v>
      </c>
      <c r="B221" s="7">
        <v>2.23</v>
      </c>
      <c r="C221" s="7">
        <v>2.33</v>
      </c>
      <c r="D221" s="3">
        <v>4492287</v>
      </c>
      <c r="E221" s="3">
        <v>2629.52</v>
      </c>
      <c r="F221" s="3">
        <v>1128548275</v>
      </c>
      <c r="G221" s="18">
        <f t="shared" si="3"/>
        <v>33.908045977011497</v>
      </c>
    </row>
    <row r="222" spans="1:7" x14ac:dyDescent="0.2">
      <c r="A222" s="9" t="s">
        <v>43</v>
      </c>
      <c r="B222" s="7">
        <v>2.2400000000000002</v>
      </c>
      <c r="C222" s="7">
        <v>2.2999999999999998</v>
      </c>
      <c r="D222" s="3">
        <v>7894703</v>
      </c>
      <c r="E222" s="3">
        <v>2595.66</v>
      </c>
      <c r="F222" s="3">
        <v>1128548275</v>
      </c>
      <c r="G222" s="18">
        <f t="shared" si="3"/>
        <v>32.183908045976999</v>
      </c>
    </row>
    <row r="223" spans="1:7" x14ac:dyDescent="0.2">
      <c r="A223" s="9" t="s">
        <v>42</v>
      </c>
      <c r="B223" s="7">
        <v>2.2799999999999998</v>
      </c>
      <c r="C223" s="7">
        <v>2.2999999999999998</v>
      </c>
      <c r="D223" s="3">
        <v>5404955</v>
      </c>
      <c r="E223" s="3">
        <v>2595.66</v>
      </c>
      <c r="F223" s="3">
        <v>1128548275</v>
      </c>
      <c r="G223" s="18">
        <f t="shared" si="3"/>
        <v>32.183908045976999</v>
      </c>
    </row>
    <row r="224" spans="1:7" x14ac:dyDescent="0.2">
      <c r="A224" s="9" t="s">
        <v>41</v>
      </c>
      <c r="B224" s="7">
        <v>2.2799999999999998</v>
      </c>
      <c r="C224" s="7">
        <v>2.23</v>
      </c>
      <c r="D224" s="3">
        <v>4158116</v>
      </c>
      <c r="E224" s="3">
        <v>2516.66</v>
      </c>
      <c r="F224" s="3">
        <v>1128548275</v>
      </c>
      <c r="G224" s="18">
        <f t="shared" si="3"/>
        <v>28.160919540229884</v>
      </c>
    </row>
    <row r="225" spans="1:7" x14ac:dyDescent="0.2">
      <c r="A225" s="9" t="s">
        <v>40</v>
      </c>
      <c r="B225" s="7">
        <v>2.2999999999999998</v>
      </c>
      <c r="C225" s="7">
        <v>2.27</v>
      </c>
      <c r="D225" s="3">
        <v>2173065</v>
      </c>
      <c r="E225" s="3">
        <v>2561.8000000000002</v>
      </c>
      <c r="F225" s="3">
        <v>1128548275</v>
      </c>
      <c r="G225" s="18">
        <f t="shared" si="3"/>
        <v>30.459770114942529</v>
      </c>
    </row>
    <row r="226" spans="1:7" x14ac:dyDescent="0.2">
      <c r="A226" s="9" t="s">
        <v>39</v>
      </c>
      <c r="B226" s="7">
        <v>2.27</v>
      </c>
      <c r="C226" s="7">
        <v>2.31</v>
      </c>
      <c r="D226" s="3">
        <v>3595353</v>
      </c>
      <c r="E226" s="3">
        <v>2606.9499999999998</v>
      </c>
      <c r="F226" s="3">
        <v>1128548275</v>
      </c>
      <c r="G226" s="18">
        <f t="shared" si="3"/>
        <v>32.758620689655174</v>
      </c>
    </row>
    <row r="227" spans="1:7" x14ac:dyDescent="0.2">
      <c r="A227" s="9" t="s">
        <v>38</v>
      </c>
      <c r="B227" s="7">
        <v>2.34</v>
      </c>
      <c r="C227" s="7">
        <v>2.42</v>
      </c>
      <c r="D227" s="3">
        <v>3618639</v>
      </c>
      <c r="E227" s="3">
        <v>2731.09</v>
      </c>
      <c r="F227" s="3">
        <v>1128548275</v>
      </c>
      <c r="G227" s="18">
        <f t="shared" si="3"/>
        <v>39.080459770114942</v>
      </c>
    </row>
    <row r="228" spans="1:7" x14ac:dyDescent="0.2">
      <c r="A228" s="9" t="s">
        <v>37</v>
      </c>
      <c r="B228" s="7">
        <v>2.46</v>
      </c>
      <c r="C228" s="7">
        <v>2.4700000000000002</v>
      </c>
      <c r="D228" s="3">
        <v>3400882</v>
      </c>
      <c r="E228" s="3">
        <v>2787.51</v>
      </c>
      <c r="F228" s="3">
        <v>1128548275</v>
      </c>
      <c r="G228" s="18">
        <f t="shared" si="3"/>
        <v>41.954022988505756</v>
      </c>
    </row>
    <row r="229" spans="1:7" x14ac:dyDescent="0.2">
      <c r="A229" s="9" t="s">
        <v>36</v>
      </c>
      <c r="B229" s="7">
        <v>2.5</v>
      </c>
      <c r="C229" s="7">
        <v>2.48</v>
      </c>
      <c r="D229" s="3">
        <v>2735831</v>
      </c>
      <c r="E229" s="3">
        <v>2798.8</v>
      </c>
      <c r="F229" s="3">
        <v>1128548275</v>
      </c>
      <c r="G229" s="18">
        <f t="shared" si="3"/>
        <v>42.528735632183903</v>
      </c>
    </row>
    <row r="230" spans="1:7" x14ac:dyDescent="0.2">
      <c r="A230" s="9" t="s">
        <v>35</v>
      </c>
      <c r="B230" s="7">
        <v>2.5</v>
      </c>
      <c r="C230" s="7">
        <v>2.5</v>
      </c>
      <c r="D230" s="3">
        <v>2470390</v>
      </c>
      <c r="E230" s="3">
        <v>2821.37</v>
      </c>
      <c r="F230" s="3">
        <v>1128548275</v>
      </c>
      <c r="G230" s="18">
        <f t="shared" si="3"/>
        <v>43.678160919540232</v>
      </c>
    </row>
    <row r="231" spans="1:7" x14ac:dyDescent="0.2">
      <c r="A231" s="9" t="s">
        <v>34</v>
      </c>
      <c r="B231" s="7">
        <v>2.5299999999999998</v>
      </c>
      <c r="C231" s="7">
        <v>2.48</v>
      </c>
      <c r="D231" s="3">
        <v>7990298</v>
      </c>
      <c r="E231" s="3">
        <v>2798.8</v>
      </c>
      <c r="F231" s="3">
        <v>1128548275</v>
      </c>
      <c r="G231" s="18">
        <f t="shared" si="3"/>
        <v>42.528735632183903</v>
      </c>
    </row>
    <row r="232" spans="1:7" x14ac:dyDescent="0.2">
      <c r="A232" s="9" t="s">
        <v>33</v>
      </c>
      <c r="B232" s="7">
        <v>2.44</v>
      </c>
      <c r="C232" s="7">
        <v>2.4300000000000002</v>
      </c>
      <c r="D232" s="3">
        <v>2980772</v>
      </c>
      <c r="E232" s="3">
        <v>2742.37</v>
      </c>
      <c r="F232" s="3">
        <v>1128548275</v>
      </c>
      <c r="G232" s="18">
        <f t="shared" si="3"/>
        <v>39.655172413793117</v>
      </c>
    </row>
    <row r="233" spans="1:7" x14ac:dyDescent="0.2">
      <c r="A233" s="9" t="s">
        <v>32</v>
      </c>
      <c r="B233" s="7">
        <v>2.5099999999999998</v>
      </c>
      <c r="C233" s="7">
        <v>2.52</v>
      </c>
      <c r="D233" s="3">
        <v>2542109</v>
      </c>
      <c r="E233" s="3">
        <v>2843.94</v>
      </c>
      <c r="F233" s="3">
        <v>1128548275</v>
      </c>
      <c r="G233" s="18">
        <f t="shared" si="3"/>
        <v>44.827586206896555</v>
      </c>
    </row>
    <row r="234" spans="1:7" x14ac:dyDescent="0.2">
      <c r="A234" s="9" t="s">
        <v>31</v>
      </c>
      <c r="B234" s="7">
        <v>2.54</v>
      </c>
      <c r="C234" s="7">
        <v>2.52</v>
      </c>
      <c r="D234" s="3">
        <v>2182596</v>
      </c>
      <c r="E234" s="3">
        <v>2843.94</v>
      </c>
      <c r="F234" s="3">
        <v>1128548275</v>
      </c>
      <c r="G234" s="18">
        <f t="shared" si="3"/>
        <v>44.827586206896555</v>
      </c>
    </row>
    <row r="235" spans="1:7" x14ac:dyDescent="0.2">
      <c r="A235" s="9" t="s">
        <v>30</v>
      </c>
      <c r="B235" s="7">
        <v>2.52</v>
      </c>
      <c r="C235" s="7">
        <v>2.5299999999999998</v>
      </c>
      <c r="D235" s="3">
        <v>1871621</v>
      </c>
      <c r="E235" s="3">
        <v>2855.23</v>
      </c>
      <c r="F235" s="3">
        <v>1128548275</v>
      </c>
      <c r="G235" s="18">
        <f t="shared" si="3"/>
        <v>45.402298850574702</v>
      </c>
    </row>
    <row r="236" spans="1:7" x14ac:dyDescent="0.2">
      <c r="A236" s="9" t="s">
        <v>29</v>
      </c>
      <c r="B236" s="7">
        <v>2.5299999999999998</v>
      </c>
      <c r="C236" s="7">
        <v>2.4900000000000002</v>
      </c>
      <c r="D236" s="3">
        <v>1854496</v>
      </c>
      <c r="E236" s="3">
        <v>2810.09</v>
      </c>
      <c r="F236" s="3">
        <v>1128548275</v>
      </c>
      <c r="G236" s="18">
        <f t="shared" si="3"/>
        <v>43.103448275862085</v>
      </c>
    </row>
    <row r="237" spans="1:7" x14ac:dyDescent="0.2">
      <c r="A237" s="9" t="s">
        <v>28</v>
      </c>
      <c r="B237" s="7">
        <v>2.4900000000000002</v>
      </c>
      <c r="C237" s="7">
        <v>2.4300000000000002</v>
      </c>
      <c r="D237" s="3">
        <v>3434680</v>
      </c>
      <c r="E237" s="3">
        <v>2742.37</v>
      </c>
      <c r="F237" s="3">
        <v>1128548275</v>
      </c>
      <c r="G237" s="18">
        <f t="shared" si="3"/>
        <v>39.655172413793117</v>
      </c>
    </row>
    <row r="238" spans="1:7" x14ac:dyDescent="0.2">
      <c r="A238" s="9" t="s">
        <v>27</v>
      </c>
      <c r="B238" s="7">
        <v>2.44</v>
      </c>
      <c r="C238" s="7">
        <v>2.41</v>
      </c>
      <c r="D238" s="3">
        <v>2193567</v>
      </c>
      <c r="E238" s="3">
        <v>2719.8</v>
      </c>
      <c r="F238" s="3">
        <v>1128548275</v>
      </c>
      <c r="G238" s="18">
        <f t="shared" si="3"/>
        <v>38.505747126436788</v>
      </c>
    </row>
    <row r="239" spans="1:7" x14ac:dyDescent="0.2">
      <c r="A239" s="9" t="s">
        <v>26</v>
      </c>
      <c r="B239" s="7">
        <v>2.4900000000000002</v>
      </c>
      <c r="C239" s="7">
        <v>2.63</v>
      </c>
      <c r="D239" s="3">
        <v>4855019</v>
      </c>
      <c r="E239" s="3">
        <v>2968.08</v>
      </c>
      <c r="F239" s="3">
        <v>1128548275</v>
      </c>
      <c r="G239" s="18">
        <f t="shared" si="3"/>
        <v>51.149425287356323</v>
      </c>
    </row>
    <row r="240" spans="1:7" x14ac:dyDescent="0.2">
      <c r="A240" s="9" t="s">
        <v>25</v>
      </c>
      <c r="B240" s="7">
        <v>2.61</v>
      </c>
      <c r="C240" s="7">
        <v>2.62</v>
      </c>
      <c r="D240" s="3">
        <v>3017244</v>
      </c>
      <c r="E240" s="3">
        <v>2956.8</v>
      </c>
      <c r="F240" s="3">
        <v>1128548275</v>
      </c>
      <c r="G240" s="18">
        <f t="shared" si="3"/>
        <v>50.574712643678168</v>
      </c>
    </row>
    <row r="241" spans="1:7" x14ac:dyDescent="0.2">
      <c r="A241" s="9" t="s">
        <v>24</v>
      </c>
      <c r="B241" s="7">
        <v>2.59</v>
      </c>
      <c r="C241" s="7">
        <v>2.67</v>
      </c>
      <c r="D241" s="3">
        <v>1705258</v>
      </c>
      <c r="E241" s="3">
        <v>3013.54</v>
      </c>
      <c r="F241" s="3">
        <v>1128664943</v>
      </c>
      <c r="G241" s="18">
        <f t="shared" si="3"/>
        <v>53.448275862068961</v>
      </c>
    </row>
    <row r="242" spans="1:7" x14ac:dyDescent="0.2">
      <c r="A242" s="9" t="s">
        <v>23</v>
      </c>
      <c r="B242" s="7">
        <v>2.75</v>
      </c>
      <c r="C242" s="7">
        <v>2.74</v>
      </c>
      <c r="D242" s="3">
        <v>3622908</v>
      </c>
      <c r="E242" s="3">
        <v>3092.54</v>
      </c>
      <c r="F242" s="3">
        <v>1128664943</v>
      </c>
      <c r="G242" s="18">
        <f t="shared" si="3"/>
        <v>57.471264367816097</v>
      </c>
    </row>
    <row r="243" spans="1:7" x14ac:dyDescent="0.2">
      <c r="A243" s="9" t="s">
        <v>22</v>
      </c>
      <c r="B243" s="7">
        <v>2.76</v>
      </c>
      <c r="C243" s="7">
        <v>2.77</v>
      </c>
      <c r="D243" s="3">
        <v>2566892</v>
      </c>
      <c r="E243" s="3">
        <v>3126.4</v>
      </c>
      <c r="F243" s="3">
        <v>1128664943</v>
      </c>
      <c r="G243" s="18">
        <f t="shared" si="3"/>
        <v>59.195402298850574</v>
      </c>
    </row>
    <row r="244" spans="1:7" x14ac:dyDescent="0.2">
      <c r="A244" s="9" t="s">
        <v>21</v>
      </c>
      <c r="B244" s="7">
        <v>2.85</v>
      </c>
      <c r="C244" s="7">
        <v>2.74</v>
      </c>
      <c r="D244" s="3">
        <v>1646526</v>
      </c>
      <c r="E244" s="3">
        <v>3092.54</v>
      </c>
      <c r="F244" s="3">
        <v>1128664943</v>
      </c>
      <c r="G244" s="18">
        <f t="shared" si="3"/>
        <v>57.471264367816097</v>
      </c>
    </row>
    <row r="245" spans="1:7" x14ac:dyDescent="0.2">
      <c r="A245" s="9" t="s">
        <v>20</v>
      </c>
      <c r="B245" s="7">
        <v>2.73</v>
      </c>
      <c r="C245" s="7">
        <v>2.71</v>
      </c>
      <c r="D245" s="3">
        <v>3944280</v>
      </c>
      <c r="E245" s="3">
        <v>3058.68</v>
      </c>
      <c r="F245" s="3">
        <v>1128664943</v>
      </c>
      <c r="G245" s="18">
        <f t="shared" si="3"/>
        <v>55.747126436781613</v>
      </c>
    </row>
    <row r="246" spans="1:7" x14ac:dyDescent="0.2">
      <c r="A246" s="9" t="s">
        <v>19</v>
      </c>
      <c r="B246" s="7">
        <v>2.66</v>
      </c>
      <c r="C246" s="7">
        <v>2.61</v>
      </c>
      <c r="D246" s="3">
        <v>2127546</v>
      </c>
      <c r="E246" s="3">
        <v>2945.82</v>
      </c>
      <c r="F246" s="3">
        <v>1128664943</v>
      </c>
      <c r="G246" s="18">
        <f t="shared" si="3"/>
        <v>49.999999999999993</v>
      </c>
    </row>
    <row r="247" spans="1:7" x14ac:dyDescent="0.2">
      <c r="A247" s="9" t="s">
        <v>18</v>
      </c>
      <c r="B247" s="7">
        <v>2.58</v>
      </c>
      <c r="C247" s="7">
        <v>2.63</v>
      </c>
      <c r="D247" s="3">
        <v>1753132</v>
      </c>
      <c r="E247" s="3">
        <v>2968.39</v>
      </c>
      <c r="F247" s="3">
        <v>1128664943</v>
      </c>
      <c r="G247" s="18">
        <f t="shared" si="3"/>
        <v>51.149425287356323</v>
      </c>
    </row>
    <row r="248" spans="1:7" x14ac:dyDescent="0.2">
      <c r="A248" s="9" t="s">
        <v>17</v>
      </c>
      <c r="B248" s="7">
        <v>2.64</v>
      </c>
      <c r="C248" s="7">
        <v>2.59</v>
      </c>
      <c r="D248" s="3">
        <v>2262879</v>
      </c>
      <c r="E248" s="3">
        <v>2923.24</v>
      </c>
      <c r="F248" s="3">
        <v>1128664943</v>
      </c>
      <c r="G248" s="18">
        <f t="shared" si="3"/>
        <v>48.85057471264367</v>
      </c>
    </row>
    <row r="249" spans="1:7" x14ac:dyDescent="0.2">
      <c r="A249" s="9" t="s">
        <v>16</v>
      </c>
      <c r="B249" s="7">
        <v>2.4900000000000002</v>
      </c>
      <c r="C249" s="7">
        <v>2.54</v>
      </c>
      <c r="D249" s="3">
        <v>3592555</v>
      </c>
      <c r="E249" s="3">
        <v>2866.81</v>
      </c>
      <c r="F249" s="3">
        <v>1128664943</v>
      </c>
      <c r="G249" s="18">
        <f t="shared" si="3"/>
        <v>45.977011494252878</v>
      </c>
    </row>
    <row r="250" spans="1:7" x14ac:dyDescent="0.2">
      <c r="A250" s="9" t="s">
        <v>15</v>
      </c>
      <c r="B250" s="7">
        <v>2.5</v>
      </c>
      <c r="C250" s="7">
        <v>2.5</v>
      </c>
      <c r="D250" s="3">
        <v>7772763</v>
      </c>
      <c r="E250" s="3">
        <v>2821.66</v>
      </c>
      <c r="F250" s="3">
        <v>1128664943</v>
      </c>
      <c r="G250" s="18">
        <f t="shared" si="3"/>
        <v>43.678160919540232</v>
      </c>
    </row>
    <row r="251" spans="1:7" x14ac:dyDescent="0.2">
      <c r="A251" s="9" t="s">
        <v>14</v>
      </c>
      <c r="B251" s="7">
        <v>2.5099999999999998</v>
      </c>
      <c r="C251" s="7">
        <v>2.54</v>
      </c>
      <c r="D251" s="3">
        <v>2001513</v>
      </c>
      <c r="E251" s="3">
        <v>2866.81</v>
      </c>
      <c r="F251" s="3">
        <v>1128664943</v>
      </c>
      <c r="G251" s="18">
        <f t="shared" si="3"/>
        <v>45.977011494252878</v>
      </c>
    </row>
    <row r="252" spans="1:7" x14ac:dyDescent="0.2">
      <c r="A252" s="9" t="s">
        <v>13</v>
      </c>
      <c r="B252" s="7">
        <v>2.54</v>
      </c>
      <c r="C252" s="7">
        <v>2.5299999999999998</v>
      </c>
      <c r="D252" s="3">
        <v>835702</v>
      </c>
      <c r="E252" s="3">
        <v>2855.52</v>
      </c>
      <c r="F252" s="3">
        <v>1128664943</v>
      </c>
      <c r="G252" s="18">
        <f t="shared" si="3"/>
        <v>45.402298850574702</v>
      </c>
    </row>
    <row r="253" spans="1:7" x14ac:dyDescent="0.2">
      <c r="A253" s="9" t="s">
        <v>12</v>
      </c>
      <c r="B253" s="7">
        <v>2.5299999999999998</v>
      </c>
      <c r="C253" s="7">
        <v>2.5499999999999998</v>
      </c>
      <c r="D253" s="3">
        <v>1116586</v>
      </c>
      <c r="E253" s="3">
        <v>2878.1</v>
      </c>
      <c r="F253" s="3">
        <v>1128664943</v>
      </c>
      <c r="G253" s="18">
        <f t="shared" si="3"/>
        <v>46.551724137931025</v>
      </c>
    </row>
    <row r="254" spans="1:7" x14ac:dyDescent="0.2">
      <c r="A254" s="9" t="s">
        <v>11</v>
      </c>
      <c r="B254" s="7">
        <v>2.52</v>
      </c>
      <c r="C254" s="7">
        <v>2.52</v>
      </c>
      <c r="D254" s="3">
        <v>1342113</v>
      </c>
      <c r="E254" s="3">
        <v>2844.24</v>
      </c>
      <c r="F254" s="3">
        <v>1128664943</v>
      </c>
      <c r="G254" s="18">
        <f t="shared" si="3"/>
        <v>44.827586206896555</v>
      </c>
    </row>
    <row r="255" spans="1:7" x14ac:dyDescent="0.2">
      <c r="A255" s="9" t="s">
        <v>10</v>
      </c>
      <c r="B255" s="7">
        <v>2.4700000000000002</v>
      </c>
      <c r="C255" s="7">
        <v>2.4700000000000002</v>
      </c>
      <c r="D255" s="3">
        <v>1376432</v>
      </c>
      <c r="E255" s="3">
        <v>2787.8</v>
      </c>
      <c r="F255" s="3">
        <v>1128664943</v>
      </c>
      <c r="G255" s="18">
        <f t="shared" si="3"/>
        <v>41.954022988505756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CF2F7-353C-8942-A3BF-224406842952}">
  <dimension ref="A1:M255"/>
  <sheetViews>
    <sheetView topLeftCell="J4" zoomScale="189" workbookViewId="0">
      <selection activeCell="O8" sqref="O8"/>
    </sheetView>
  </sheetViews>
  <sheetFormatPr baseColWidth="10" defaultRowHeight="16" x14ac:dyDescent="0.2"/>
  <cols>
    <col min="1" max="1" width="13.33203125" customWidth="1"/>
    <col min="2" max="2" width="16.6640625" style="9" customWidth="1"/>
    <col min="3" max="6" width="16.6640625" style="10" customWidth="1"/>
    <col min="7" max="7" width="16.6640625" style="4" customWidth="1"/>
    <col min="8" max="8" width="25" style="4" customWidth="1"/>
    <col min="9" max="9" width="16.6640625" style="4" customWidth="1"/>
    <col min="10" max="10" width="10.83203125" style="21"/>
  </cols>
  <sheetData>
    <row r="1" spans="1:13" ht="15" customHeight="1" x14ac:dyDescent="0.2">
      <c r="A1" s="1" t="s">
        <v>0</v>
      </c>
      <c r="B1" s="8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  <c r="H1" s="1" t="s">
        <v>7</v>
      </c>
      <c r="I1" s="1" t="s">
        <v>8</v>
      </c>
      <c r="J1" s="20" t="s">
        <v>265</v>
      </c>
      <c r="L1" s="1" t="s">
        <v>264</v>
      </c>
      <c r="M1">
        <v>7.4297699999999994E-2</v>
      </c>
    </row>
    <row r="2" spans="1:13" ht="15" customHeight="1" x14ac:dyDescent="0.2">
      <c r="A2" t="s">
        <v>9</v>
      </c>
      <c r="B2" s="9" t="s">
        <v>263</v>
      </c>
      <c r="C2" s="7">
        <v>1.7749999999999999</v>
      </c>
      <c r="D2" s="7">
        <v>1.778</v>
      </c>
      <c r="E2" s="7">
        <v>1.7350000000000001</v>
      </c>
      <c r="F2" s="7">
        <v>1.74</v>
      </c>
      <c r="G2" s="3">
        <v>1691953</v>
      </c>
      <c r="H2" s="3">
        <v>1913.76</v>
      </c>
      <c r="I2" s="3">
        <v>1099862562</v>
      </c>
      <c r="J2" s="21">
        <f>F2/0.0742977</f>
        <v>23.419298309368934</v>
      </c>
      <c r="K2" s="5"/>
    </row>
    <row r="3" spans="1:13" ht="15" customHeight="1" x14ac:dyDescent="0.2">
      <c r="A3" t="s">
        <v>9</v>
      </c>
      <c r="B3" s="9" t="s">
        <v>262</v>
      </c>
      <c r="C3" s="7">
        <v>1.7050000000000001</v>
      </c>
      <c r="D3" s="7">
        <v>1.72</v>
      </c>
      <c r="E3" s="7">
        <v>1.6850000000000001</v>
      </c>
      <c r="F3" s="7">
        <v>1.69</v>
      </c>
      <c r="G3" s="3">
        <v>2158486</v>
      </c>
      <c r="H3" s="3">
        <v>1858.77</v>
      </c>
      <c r="I3" s="3">
        <v>1099862562</v>
      </c>
      <c r="J3" s="21">
        <f t="shared" ref="J3:J5" si="0">F3/0.0742977</f>
        <v>22.746329967145687</v>
      </c>
      <c r="L3" s="3"/>
    </row>
    <row r="4" spans="1:13" ht="15" customHeight="1" x14ac:dyDescent="0.2">
      <c r="A4" t="s">
        <v>9</v>
      </c>
      <c r="B4" s="9" t="s">
        <v>261</v>
      </c>
      <c r="C4" s="7">
        <v>1.66</v>
      </c>
      <c r="D4" s="7">
        <v>1.677</v>
      </c>
      <c r="E4" s="7">
        <v>1.615</v>
      </c>
      <c r="F4" s="7">
        <v>1.625</v>
      </c>
      <c r="G4" s="3">
        <v>4297585</v>
      </c>
      <c r="H4" s="3">
        <v>1787.28</v>
      </c>
      <c r="I4" s="3">
        <v>1099862562</v>
      </c>
      <c r="J4" s="21">
        <f t="shared" si="0"/>
        <v>21.871471122255468</v>
      </c>
    </row>
    <row r="5" spans="1:13" ht="15" customHeight="1" x14ac:dyDescent="0.2">
      <c r="A5" t="s">
        <v>9</v>
      </c>
      <c r="B5" s="9" t="s">
        <v>260</v>
      </c>
      <c r="C5" s="7">
        <v>1.645</v>
      </c>
      <c r="D5" s="7">
        <v>1.655</v>
      </c>
      <c r="E5" s="7">
        <v>1.62</v>
      </c>
      <c r="F5" s="7">
        <v>1.625</v>
      </c>
      <c r="G5" s="3">
        <v>2078349</v>
      </c>
      <c r="H5" s="3">
        <v>1787.28</v>
      </c>
      <c r="I5" s="3">
        <v>1099862562</v>
      </c>
      <c r="J5" s="21">
        <f t="shared" si="0"/>
        <v>21.871471122255468</v>
      </c>
    </row>
    <row r="6" spans="1:13" ht="15" customHeight="1" x14ac:dyDescent="0.2">
      <c r="A6" t="s">
        <v>9</v>
      </c>
      <c r="B6" s="9" t="s">
        <v>259</v>
      </c>
      <c r="C6" s="7">
        <v>1.615</v>
      </c>
      <c r="D6" s="7">
        <v>1.63</v>
      </c>
      <c r="E6" s="7">
        <v>1.6</v>
      </c>
      <c r="F6" s="7">
        <v>1.63</v>
      </c>
      <c r="G6" s="3">
        <v>2400388</v>
      </c>
      <c r="H6" s="3">
        <v>1792.78</v>
      </c>
      <c r="I6" s="3">
        <v>1099862562</v>
      </c>
      <c r="J6" s="21">
        <f>F6/0.0742977</f>
        <v>21.938767956477793</v>
      </c>
    </row>
    <row r="7" spans="1:13" ht="15" customHeight="1" x14ac:dyDescent="0.2">
      <c r="A7" t="s">
        <v>9</v>
      </c>
      <c r="B7" s="9" t="s">
        <v>258</v>
      </c>
      <c r="C7" s="7">
        <v>1.64</v>
      </c>
      <c r="D7" s="7">
        <v>1.655</v>
      </c>
      <c r="E7" s="7">
        <v>1.6</v>
      </c>
      <c r="F7" s="7">
        <v>1.605</v>
      </c>
      <c r="G7" s="3">
        <v>2406963</v>
      </c>
      <c r="H7" s="3">
        <v>1765.28</v>
      </c>
      <c r="I7" s="3">
        <v>1099862562</v>
      </c>
      <c r="J7" s="21">
        <f t="shared" ref="J7:J70" si="1">F7/0.0742977</f>
        <v>21.602283785366172</v>
      </c>
    </row>
    <row r="8" spans="1:13" ht="15" customHeight="1" x14ac:dyDescent="0.2">
      <c r="A8" t="s">
        <v>9</v>
      </c>
      <c r="B8" s="9" t="s">
        <v>257</v>
      </c>
      <c r="C8" s="7">
        <v>1.6</v>
      </c>
      <c r="D8" s="7">
        <v>1.61</v>
      </c>
      <c r="E8" s="7">
        <v>1.575</v>
      </c>
      <c r="F8" s="7">
        <v>1.59</v>
      </c>
      <c r="G8" s="3">
        <v>1291516</v>
      </c>
      <c r="H8" s="3">
        <v>1748.78</v>
      </c>
      <c r="I8" s="3">
        <v>1099862562</v>
      </c>
      <c r="J8" s="21">
        <f t="shared" si="1"/>
        <v>21.400393282699198</v>
      </c>
    </row>
    <row r="9" spans="1:13" ht="15" customHeight="1" x14ac:dyDescent="0.2">
      <c r="A9" t="s">
        <v>9</v>
      </c>
      <c r="B9" s="9" t="s">
        <v>256</v>
      </c>
      <c r="C9" s="7">
        <v>1.585</v>
      </c>
      <c r="D9" s="7">
        <v>1.625</v>
      </c>
      <c r="E9" s="7">
        <v>1.56</v>
      </c>
      <c r="F9" s="7">
        <v>1.615</v>
      </c>
      <c r="G9" s="3">
        <v>2849643</v>
      </c>
      <c r="H9" s="3">
        <v>1776.28</v>
      </c>
      <c r="I9" s="3">
        <v>1099862562</v>
      </c>
      <c r="J9" s="21">
        <f t="shared" si="1"/>
        <v>21.73687745381082</v>
      </c>
    </row>
    <row r="10" spans="1:13" ht="15" customHeight="1" x14ac:dyDescent="0.2">
      <c r="A10" t="s">
        <v>9</v>
      </c>
      <c r="B10" s="9" t="s">
        <v>255</v>
      </c>
      <c r="C10" s="7">
        <v>1.6</v>
      </c>
      <c r="D10" s="7">
        <v>1.625</v>
      </c>
      <c r="E10" s="7">
        <v>1.58</v>
      </c>
      <c r="F10" s="7">
        <v>1.62</v>
      </c>
      <c r="G10" s="3">
        <v>3232746</v>
      </c>
      <c r="H10" s="3">
        <v>1781.78</v>
      </c>
      <c r="I10" s="3">
        <v>1099862562</v>
      </c>
      <c r="J10" s="21">
        <f t="shared" si="1"/>
        <v>21.804174288033146</v>
      </c>
    </row>
    <row r="11" spans="1:13" ht="15" customHeight="1" x14ac:dyDescent="0.2">
      <c r="A11" t="s">
        <v>9</v>
      </c>
      <c r="B11" s="9" t="s">
        <v>254</v>
      </c>
      <c r="C11" s="7">
        <v>1.635</v>
      </c>
      <c r="D11" s="7">
        <v>1.655</v>
      </c>
      <c r="E11" s="7">
        <v>1.617</v>
      </c>
      <c r="F11" s="7">
        <v>1.64</v>
      </c>
      <c r="G11" s="3">
        <v>1598296</v>
      </c>
      <c r="H11" s="3">
        <v>1803.77</v>
      </c>
      <c r="I11" s="3">
        <v>1099862562</v>
      </c>
      <c r="J11" s="21">
        <f t="shared" si="1"/>
        <v>22.073361624922441</v>
      </c>
    </row>
    <row r="12" spans="1:13" ht="15" customHeight="1" x14ac:dyDescent="0.2">
      <c r="A12" t="s">
        <v>9</v>
      </c>
      <c r="B12" s="9" t="s">
        <v>253</v>
      </c>
      <c r="C12" s="7">
        <v>1.63</v>
      </c>
      <c r="D12" s="7">
        <v>1.665</v>
      </c>
      <c r="E12" s="7">
        <v>1.615</v>
      </c>
      <c r="F12" s="7">
        <v>1.65</v>
      </c>
      <c r="G12" s="3">
        <v>2079745</v>
      </c>
      <c r="H12" s="3">
        <v>1814.77</v>
      </c>
      <c r="I12" s="3">
        <v>1099862562</v>
      </c>
      <c r="J12" s="21">
        <f t="shared" si="1"/>
        <v>22.207955293367089</v>
      </c>
    </row>
    <row r="13" spans="1:13" ht="15" customHeight="1" x14ac:dyDescent="0.2">
      <c r="A13" t="s">
        <v>9</v>
      </c>
      <c r="B13" s="9" t="s">
        <v>252</v>
      </c>
      <c r="C13" s="7">
        <v>1.6</v>
      </c>
      <c r="D13" s="7">
        <v>1.623</v>
      </c>
      <c r="E13" s="7">
        <v>1.575</v>
      </c>
      <c r="F13" s="7">
        <v>1.62</v>
      </c>
      <c r="G13" s="3">
        <v>2819960</v>
      </c>
      <c r="H13" s="3">
        <v>1781.78</v>
      </c>
      <c r="I13" s="3">
        <v>1099862562</v>
      </c>
      <c r="J13" s="21">
        <f t="shared" si="1"/>
        <v>21.804174288033146</v>
      </c>
    </row>
    <row r="14" spans="1:13" ht="15" customHeight="1" x14ac:dyDescent="0.2">
      <c r="A14" t="s">
        <v>9</v>
      </c>
      <c r="B14" s="9" t="s">
        <v>251</v>
      </c>
      <c r="C14" s="7">
        <v>1.58</v>
      </c>
      <c r="D14" s="7">
        <v>1.617</v>
      </c>
      <c r="E14" s="7">
        <v>1.575</v>
      </c>
      <c r="F14" s="7">
        <v>1.59</v>
      </c>
      <c r="G14" s="3">
        <v>2256374</v>
      </c>
      <c r="H14" s="3">
        <v>1748.78</v>
      </c>
      <c r="I14" s="3">
        <v>1099862562</v>
      </c>
      <c r="J14" s="21">
        <f t="shared" si="1"/>
        <v>21.400393282699198</v>
      </c>
    </row>
    <row r="15" spans="1:13" ht="15" customHeight="1" x14ac:dyDescent="0.2">
      <c r="A15" t="s">
        <v>9</v>
      </c>
      <c r="B15" s="9" t="s">
        <v>250</v>
      </c>
      <c r="C15" s="7">
        <v>1.62</v>
      </c>
      <c r="D15" s="7">
        <v>1.633</v>
      </c>
      <c r="E15" s="7">
        <v>1.59</v>
      </c>
      <c r="F15" s="7">
        <v>1.605</v>
      </c>
      <c r="G15" s="3">
        <v>1678880</v>
      </c>
      <c r="H15" s="3">
        <v>1765.28</v>
      </c>
      <c r="I15" s="3">
        <v>1099862562</v>
      </c>
      <c r="J15" s="21">
        <f t="shared" si="1"/>
        <v>21.602283785366172</v>
      </c>
    </row>
    <row r="16" spans="1:13" ht="15" customHeight="1" x14ac:dyDescent="0.2">
      <c r="A16" t="s">
        <v>9</v>
      </c>
      <c r="B16" s="9" t="s">
        <v>249</v>
      </c>
      <c r="C16" s="7">
        <v>1.61</v>
      </c>
      <c r="D16" s="7">
        <v>1.625</v>
      </c>
      <c r="E16" s="7">
        <v>1.587</v>
      </c>
      <c r="F16" s="7">
        <v>1.605</v>
      </c>
      <c r="G16" s="3">
        <v>1900865</v>
      </c>
      <c r="H16" s="3">
        <v>1765.28</v>
      </c>
      <c r="I16" s="3">
        <v>1099862562</v>
      </c>
      <c r="J16" s="21">
        <f t="shared" si="1"/>
        <v>21.602283785366172</v>
      </c>
    </row>
    <row r="17" spans="1:10" ht="15" customHeight="1" x14ac:dyDescent="0.2">
      <c r="A17" t="s">
        <v>9</v>
      </c>
      <c r="B17" s="9" t="s">
        <v>248</v>
      </c>
      <c r="C17" s="7">
        <v>1.61</v>
      </c>
      <c r="D17" s="7">
        <v>1.61</v>
      </c>
      <c r="E17" s="7">
        <v>1.52</v>
      </c>
      <c r="F17" s="7">
        <v>1.53</v>
      </c>
      <c r="G17" s="3">
        <v>2114082</v>
      </c>
      <c r="H17" s="3">
        <v>1682.79</v>
      </c>
      <c r="I17" s="3">
        <v>1099862562</v>
      </c>
      <c r="J17" s="21">
        <f t="shared" si="1"/>
        <v>20.592831272031304</v>
      </c>
    </row>
    <row r="18" spans="1:10" ht="15" customHeight="1" x14ac:dyDescent="0.2">
      <c r="A18" t="s">
        <v>9</v>
      </c>
      <c r="B18" s="9" t="s">
        <v>247</v>
      </c>
      <c r="C18" s="7">
        <v>1.54</v>
      </c>
      <c r="D18" s="7">
        <v>1.62</v>
      </c>
      <c r="E18" s="7">
        <v>1.5149999999999999</v>
      </c>
      <c r="F18" s="7">
        <v>1.585</v>
      </c>
      <c r="G18" s="3">
        <v>4654978</v>
      </c>
      <c r="H18" s="3">
        <v>1743.28</v>
      </c>
      <c r="I18" s="3">
        <v>1099862562</v>
      </c>
      <c r="J18" s="21">
        <f t="shared" si="1"/>
        <v>21.333096448476873</v>
      </c>
    </row>
    <row r="19" spans="1:10" ht="15" customHeight="1" x14ac:dyDescent="0.2">
      <c r="A19" t="s">
        <v>9</v>
      </c>
      <c r="B19" s="9" t="s">
        <v>246</v>
      </c>
      <c r="C19" s="7">
        <v>1.585</v>
      </c>
      <c r="D19" s="7">
        <v>1.593</v>
      </c>
      <c r="E19" s="7">
        <v>1.5449999999999999</v>
      </c>
      <c r="F19" s="7">
        <v>1.5649999999999999</v>
      </c>
      <c r="G19" s="3">
        <v>2058873</v>
      </c>
      <c r="H19" s="3">
        <v>1721.28</v>
      </c>
      <c r="I19" s="3">
        <v>1099862562</v>
      </c>
      <c r="J19" s="21">
        <f t="shared" si="1"/>
        <v>21.063909111587574</v>
      </c>
    </row>
    <row r="20" spans="1:10" ht="15" customHeight="1" x14ac:dyDescent="0.2">
      <c r="A20" t="s">
        <v>9</v>
      </c>
      <c r="B20" s="9" t="s">
        <v>245</v>
      </c>
      <c r="C20" s="7">
        <v>1.5449999999999999</v>
      </c>
      <c r="D20" s="7">
        <v>1.5649999999999999</v>
      </c>
      <c r="E20" s="7">
        <v>1.4850000000000001</v>
      </c>
      <c r="F20" s="7">
        <v>1.5549999999999999</v>
      </c>
      <c r="G20" s="3">
        <v>4010051</v>
      </c>
      <c r="H20" s="3">
        <v>1710.29</v>
      </c>
      <c r="I20" s="3">
        <v>1099862562</v>
      </c>
      <c r="J20" s="21">
        <f t="shared" si="1"/>
        <v>20.929315443142926</v>
      </c>
    </row>
    <row r="21" spans="1:10" ht="15" customHeight="1" x14ac:dyDescent="0.2">
      <c r="A21" t="s">
        <v>9</v>
      </c>
      <c r="B21" s="9" t="s">
        <v>244</v>
      </c>
      <c r="C21" s="7">
        <v>1.5649999999999999</v>
      </c>
      <c r="D21" s="7">
        <v>1.613</v>
      </c>
      <c r="E21" s="7">
        <v>1.5449999999999999</v>
      </c>
      <c r="F21" s="7">
        <v>1.6</v>
      </c>
      <c r="G21" s="3">
        <v>2171692</v>
      </c>
      <c r="H21" s="3">
        <v>1759.78</v>
      </c>
      <c r="I21" s="3">
        <v>1099862562</v>
      </c>
      <c r="J21" s="21">
        <f t="shared" si="1"/>
        <v>21.534986951143846</v>
      </c>
    </row>
    <row r="22" spans="1:10" ht="15" customHeight="1" x14ac:dyDescent="0.2">
      <c r="A22" t="s">
        <v>9</v>
      </c>
      <c r="B22" s="9" t="s">
        <v>243</v>
      </c>
      <c r="C22" s="7">
        <v>1.59</v>
      </c>
      <c r="D22" s="7">
        <v>1.635</v>
      </c>
      <c r="E22" s="7">
        <v>1.5649999999999999</v>
      </c>
      <c r="F22" s="7">
        <v>1.625</v>
      </c>
      <c r="G22" s="3">
        <v>2709345</v>
      </c>
      <c r="H22" s="3">
        <v>1787.28</v>
      </c>
      <c r="I22" s="3">
        <v>1099862562</v>
      </c>
      <c r="J22" s="21">
        <f t="shared" si="1"/>
        <v>21.871471122255468</v>
      </c>
    </row>
    <row r="23" spans="1:10" ht="15" customHeight="1" x14ac:dyDescent="0.2">
      <c r="A23" t="s">
        <v>9</v>
      </c>
      <c r="B23" s="9" t="s">
        <v>242</v>
      </c>
      <c r="C23" s="7">
        <v>1.6</v>
      </c>
      <c r="D23" s="7">
        <v>1.61</v>
      </c>
      <c r="E23" s="7">
        <v>1.5349999999999999</v>
      </c>
      <c r="F23" s="7">
        <v>1.605</v>
      </c>
      <c r="G23" s="3">
        <v>2991972</v>
      </c>
      <c r="H23" s="3">
        <v>1765.28</v>
      </c>
      <c r="I23" s="3">
        <v>1099862562</v>
      </c>
      <c r="J23" s="21">
        <f t="shared" si="1"/>
        <v>21.602283785366172</v>
      </c>
    </row>
    <row r="24" spans="1:10" ht="15" customHeight="1" x14ac:dyDescent="0.2">
      <c r="A24" t="s">
        <v>9</v>
      </c>
      <c r="B24" s="9" t="s">
        <v>241</v>
      </c>
      <c r="C24" s="7">
        <v>1.66</v>
      </c>
      <c r="D24" s="7">
        <v>1.74</v>
      </c>
      <c r="E24" s="7">
        <v>1.66</v>
      </c>
      <c r="F24" s="7">
        <v>1.6950000000000001</v>
      </c>
      <c r="G24" s="3">
        <v>4467327</v>
      </c>
      <c r="H24" s="3">
        <v>1864.27</v>
      </c>
      <c r="I24" s="3">
        <v>1099862562</v>
      </c>
      <c r="J24" s="21">
        <f t="shared" si="1"/>
        <v>22.813626801368013</v>
      </c>
    </row>
    <row r="25" spans="1:10" ht="15" customHeight="1" x14ac:dyDescent="0.2">
      <c r="A25" t="s">
        <v>9</v>
      </c>
      <c r="B25" s="9" t="s">
        <v>240</v>
      </c>
      <c r="C25" s="7">
        <v>1.645</v>
      </c>
      <c r="D25" s="7">
        <v>1.65</v>
      </c>
      <c r="E25" s="7">
        <v>1.585</v>
      </c>
      <c r="F25" s="7">
        <v>1.605</v>
      </c>
      <c r="G25" s="3">
        <v>4138295</v>
      </c>
      <c r="H25" s="3">
        <v>1765.28</v>
      </c>
      <c r="I25" s="3">
        <v>1099862562</v>
      </c>
      <c r="J25" s="21">
        <f t="shared" si="1"/>
        <v>21.602283785366172</v>
      </c>
    </row>
    <row r="26" spans="1:10" ht="15" customHeight="1" x14ac:dyDescent="0.2">
      <c r="A26" t="s">
        <v>9</v>
      </c>
      <c r="B26" s="9" t="s">
        <v>239</v>
      </c>
      <c r="C26" s="7">
        <v>1.6</v>
      </c>
      <c r="D26" s="7">
        <v>1.62</v>
      </c>
      <c r="E26" s="7">
        <v>1.5649999999999999</v>
      </c>
      <c r="F26" s="7">
        <v>1.585</v>
      </c>
      <c r="G26" s="3">
        <v>2861264</v>
      </c>
      <c r="H26" s="3">
        <v>1743.28</v>
      </c>
      <c r="I26" s="3">
        <v>1099862562</v>
      </c>
      <c r="J26" s="21">
        <f t="shared" si="1"/>
        <v>21.333096448476873</v>
      </c>
    </row>
    <row r="27" spans="1:10" ht="15" customHeight="1" x14ac:dyDescent="0.2">
      <c r="A27" t="s">
        <v>9</v>
      </c>
      <c r="B27" s="9" t="s">
        <v>238</v>
      </c>
      <c r="C27" s="7">
        <v>1.6</v>
      </c>
      <c r="D27" s="7">
        <v>1.607</v>
      </c>
      <c r="E27" s="7">
        <v>1.57</v>
      </c>
      <c r="F27" s="7">
        <v>1.605</v>
      </c>
      <c r="G27" s="3">
        <v>1507183</v>
      </c>
      <c r="H27" s="3">
        <v>1765.28</v>
      </c>
      <c r="I27" s="3">
        <v>1099862562</v>
      </c>
      <c r="J27" s="21">
        <f t="shared" si="1"/>
        <v>21.602283785366172</v>
      </c>
    </row>
    <row r="28" spans="1:10" ht="15" customHeight="1" x14ac:dyDescent="0.2">
      <c r="A28" t="s">
        <v>9</v>
      </c>
      <c r="B28" s="9" t="s">
        <v>237</v>
      </c>
      <c r="C28" s="7">
        <v>1.605</v>
      </c>
      <c r="D28" s="7">
        <v>1.65</v>
      </c>
      <c r="E28" s="7">
        <v>1.587</v>
      </c>
      <c r="F28" s="7">
        <v>1.61</v>
      </c>
      <c r="G28" s="3">
        <v>2253562</v>
      </c>
      <c r="H28" s="3">
        <v>1770.78</v>
      </c>
      <c r="I28" s="3">
        <v>1099862562</v>
      </c>
      <c r="J28" s="21">
        <f t="shared" si="1"/>
        <v>21.669580619588498</v>
      </c>
    </row>
    <row r="29" spans="1:10" ht="15" customHeight="1" x14ac:dyDescent="0.2">
      <c r="A29" t="s">
        <v>9</v>
      </c>
      <c r="B29" s="9" t="s">
        <v>236</v>
      </c>
      <c r="C29" s="7">
        <v>1.6</v>
      </c>
      <c r="D29" s="7">
        <v>1.605</v>
      </c>
      <c r="E29" s="7">
        <v>1.55</v>
      </c>
      <c r="F29" s="7">
        <v>1.56</v>
      </c>
      <c r="G29" s="3">
        <v>2033747</v>
      </c>
      <c r="H29" s="3">
        <v>1749.98</v>
      </c>
      <c r="I29" s="3">
        <v>1121780094</v>
      </c>
      <c r="J29" s="21">
        <f t="shared" si="1"/>
        <v>20.996612277365251</v>
      </c>
    </row>
    <row r="30" spans="1:10" ht="15" customHeight="1" x14ac:dyDescent="0.2">
      <c r="A30" t="s">
        <v>9</v>
      </c>
      <c r="B30" s="9" t="s">
        <v>235</v>
      </c>
      <c r="C30" s="7">
        <v>1.585</v>
      </c>
      <c r="D30" s="7">
        <v>1.585</v>
      </c>
      <c r="E30" s="7">
        <v>1.54</v>
      </c>
      <c r="F30" s="7">
        <v>1.54</v>
      </c>
      <c r="G30" s="3">
        <v>1047305</v>
      </c>
      <c r="H30" s="3">
        <v>1727.54</v>
      </c>
      <c r="I30" s="3">
        <v>1121780094</v>
      </c>
      <c r="J30" s="21">
        <f t="shared" si="1"/>
        <v>20.727424940475952</v>
      </c>
    </row>
    <row r="31" spans="1:10" ht="15" customHeight="1" x14ac:dyDescent="0.2">
      <c r="A31" t="s">
        <v>9</v>
      </c>
      <c r="B31" s="9" t="s">
        <v>234</v>
      </c>
      <c r="C31" s="7">
        <v>1.5649999999999999</v>
      </c>
      <c r="D31" s="7">
        <v>1.605</v>
      </c>
      <c r="E31" s="7">
        <v>1.55</v>
      </c>
      <c r="F31" s="7">
        <v>1.57</v>
      </c>
      <c r="G31" s="3">
        <v>1872213</v>
      </c>
      <c r="H31" s="3">
        <v>1761.19</v>
      </c>
      <c r="I31" s="3">
        <v>1121780094</v>
      </c>
      <c r="J31" s="21">
        <f t="shared" si="1"/>
        <v>21.131205945809899</v>
      </c>
    </row>
    <row r="32" spans="1:10" ht="15" customHeight="1" x14ac:dyDescent="0.2">
      <c r="A32" t="s">
        <v>9</v>
      </c>
      <c r="B32" s="9" t="s">
        <v>233</v>
      </c>
      <c r="C32" s="7">
        <v>1.51</v>
      </c>
      <c r="D32" s="7">
        <v>1.532</v>
      </c>
      <c r="E32" s="7">
        <v>1.4650000000000001</v>
      </c>
      <c r="F32" s="7">
        <v>1.52</v>
      </c>
      <c r="G32" s="3">
        <v>2758420</v>
      </c>
      <c r="H32" s="3">
        <v>1705.11</v>
      </c>
      <c r="I32" s="3">
        <v>1121780094</v>
      </c>
      <c r="J32" s="21">
        <f t="shared" si="1"/>
        <v>20.458237603586653</v>
      </c>
    </row>
    <row r="33" spans="1:10" ht="15" customHeight="1" x14ac:dyDescent="0.2">
      <c r="A33" t="s">
        <v>9</v>
      </c>
      <c r="B33" s="9" t="s">
        <v>232</v>
      </c>
      <c r="C33" s="7">
        <v>1.5149999999999999</v>
      </c>
      <c r="D33" s="7">
        <v>1.54</v>
      </c>
      <c r="E33" s="7">
        <v>1.5</v>
      </c>
      <c r="F33" s="7">
        <v>1.5049999999999999</v>
      </c>
      <c r="G33" s="3">
        <v>3018443</v>
      </c>
      <c r="H33" s="3">
        <v>1688.28</v>
      </c>
      <c r="I33" s="3">
        <v>1121780094</v>
      </c>
      <c r="J33" s="21">
        <f t="shared" si="1"/>
        <v>20.25634710091968</v>
      </c>
    </row>
    <row r="34" spans="1:10" ht="15" customHeight="1" x14ac:dyDescent="0.2">
      <c r="A34" t="s">
        <v>9</v>
      </c>
      <c r="B34" s="9" t="s">
        <v>231</v>
      </c>
      <c r="C34" s="7">
        <v>1.55</v>
      </c>
      <c r="D34" s="7">
        <v>1.57</v>
      </c>
      <c r="E34" s="7">
        <v>1.5149999999999999</v>
      </c>
      <c r="F34" s="7">
        <v>1.5249999999999999</v>
      </c>
      <c r="G34" s="3">
        <v>2049513</v>
      </c>
      <c r="H34" s="3">
        <v>1710.71</v>
      </c>
      <c r="I34" s="3">
        <v>1121780094</v>
      </c>
      <c r="J34" s="21">
        <f t="shared" si="1"/>
        <v>20.525534437808975</v>
      </c>
    </row>
    <row r="35" spans="1:10" ht="15" customHeight="1" x14ac:dyDescent="0.2">
      <c r="A35" t="s">
        <v>9</v>
      </c>
      <c r="B35" s="9" t="s">
        <v>230</v>
      </c>
      <c r="C35" s="7">
        <v>1.5249999999999999</v>
      </c>
      <c r="D35" s="7">
        <v>1.53</v>
      </c>
      <c r="E35" s="7">
        <v>1.5049999999999999</v>
      </c>
      <c r="F35" s="7">
        <v>1.5249999999999999</v>
      </c>
      <c r="G35" s="3">
        <v>1991462</v>
      </c>
      <c r="H35" s="3">
        <v>1710.71</v>
      </c>
      <c r="I35" s="3">
        <v>1121780094</v>
      </c>
      <c r="J35" s="21">
        <f t="shared" si="1"/>
        <v>20.525534437808975</v>
      </c>
    </row>
    <row r="36" spans="1:10" ht="15" customHeight="1" x14ac:dyDescent="0.2">
      <c r="A36" t="s">
        <v>9</v>
      </c>
      <c r="B36" s="9" t="s">
        <v>229</v>
      </c>
      <c r="C36" s="7">
        <v>1.53</v>
      </c>
      <c r="D36" s="7">
        <v>1.542</v>
      </c>
      <c r="E36" s="7">
        <v>1.51</v>
      </c>
      <c r="F36" s="7">
        <v>1.54</v>
      </c>
      <c r="G36" s="3">
        <v>1701695</v>
      </c>
      <c r="H36" s="3">
        <v>1727.54</v>
      </c>
      <c r="I36" s="3">
        <v>1121780094</v>
      </c>
      <c r="J36" s="21">
        <f t="shared" si="1"/>
        <v>20.727424940475952</v>
      </c>
    </row>
    <row r="37" spans="1:10" ht="15" customHeight="1" x14ac:dyDescent="0.2">
      <c r="A37" t="s">
        <v>9</v>
      </c>
      <c r="B37" s="9" t="s">
        <v>228</v>
      </c>
      <c r="C37" s="7">
        <v>1.5549999999999999</v>
      </c>
      <c r="D37" s="7">
        <v>1.595</v>
      </c>
      <c r="E37" s="7">
        <v>1.55</v>
      </c>
      <c r="F37" s="7">
        <v>1.5649999999999999</v>
      </c>
      <c r="G37" s="3">
        <v>3085938</v>
      </c>
      <c r="H37" s="3">
        <v>1755.59</v>
      </c>
      <c r="I37" s="3">
        <v>1121780094</v>
      </c>
      <c r="J37" s="21">
        <f t="shared" si="1"/>
        <v>21.063909111587574</v>
      </c>
    </row>
    <row r="38" spans="1:10" ht="15" customHeight="1" x14ac:dyDescent="0.2">
      <c r="A38" t="s">
        <v>9</v>
      </c>
      <c r="B38" s="9" t="s">
        <v>227</v>
      </c>
      <c r="C38" s="7">
        <v>1.55</v>
      </c>
      <c r="D38" s="7">
        <v>1.57</v>
      </c>
      <c r="E38" s="7">
        <v>1.52</v>
      </c>
      <c r="F38" s="7">
        <v>1.5549999999999999</v>
      </c>
      <c r="G38" s="3">
        <v>1506630</v>
      </c>
      <c r="H38" s="3">
        <v>1744.37</v>
      </c>
      <c r="I38" s="3">
        <v>1121780094</v>
      </c>
      <c r="J38" s="21">
        <f t="shared" si="1"/>
        <v>20.929315443142926</v>
      </c>
    </row>
    <row r="39" spans="1:10" ht="15" customHeight="1" x14ac:dyDescent="0.2">
      <c r="A39" t="s">
        <v>9</v>
      </c>
      <c r="B39" s="9" t="s">
        <v>226</v>
      </c>
      <c r="C39" s="7">
        <v>1.54</v>
      </c>
      <c r="D39" s="7">
        <v>1.5649999999999999</v>
      </c>
      <c r="E39" s="7">
        <v>1.54</v>
      </c>
      <c r="F39" s="7">
        <v>1.56</v>
      </c>
      <c r="G39" s="3">
        <v>1020411</v>
      </c>
      <c r="H39" s="3">
        <v>1749.98</v>
      </c>
      <c r="I39" s="3">
        <v>1121780094</v>
      </c>
      <c r="J39" s="21">
        <f t="shared" si="1"/>
        <v>20.996612277365251</v>
      </c>
    </row>
    <row r="40" spans="1:10" ht="15" customHeight="1" x14ac:dyDescent="0.2">
      <c r="A40" t="s">
        <v>9</v>
      </c>
      <c r="B40" s="9" t="s">
        <v>225</v>
      </c>
      <c r="C40" s="7">
        <v>1.59</v>
      </c>
      <c r="D40" s="7">
        <v>1.625</v>
      </c>
      <c r="E40" s="7">
        <v>1.585</v>
      </c>
      <c r="F40" s="7">
        <v>1.61</v>
      </c>
      <c r="G40" s="3">
        <v>1607070</v>
      </c>
      <c r="H40" s="3">
        <v>1806.31</v>
      </c>
      <c r="I40" s="3">
        <v>1121933336</v>
      </c>
      <c r="J40" s="21">
        <f t="shared" si="1"/>
        <v>21.669580619588498</v>
      </c>
    </row>
    <row r="41" spans="1:10" ht="15" customHeight="1" x14ac:dyDescent="0.2">
      <c r="A41" t="s">
        <v>9</v>
      </c>
      <c r="B41" s="9" t="s">
        <v>224</v>
      </c>
      <c r="C41" s="7">
        <v>1.59</v>
      </c>
      <c r="D41" s="7">
        <v>1.6</v>
      </c>
      <c r="E41" s="7">
        <v>1.52</v>
      </c>
      <c r="F41" s="7">
        <v>1.57</v>
      </c>
      <c r="G41" s="3">
        <v>3124151</v>
      </c>
      <c r="H41" s="3">
        <v>1761.44</v>
      </c>
      <c r="I41" s="3">
        <v>1121933336</v>
      </c>
      <c r="J41" s="21">
        <f t="shared" si="1"/>
        <v>21.131205945809899</v>
      </c>
    </row>
    <row r="42" spans="1:10" ht="15" customHeight="1" x14ac:dyDescent="0.2">
      <c r="A42" t="s">
        <v>9</v>
      </c>
      <c r="B42" s="9" t="s">
        <v>223</v>
      </c>
      <c r="C42" s="7">
        <v>1.59</v>
      </c>
      <c r="D42" s="7">
        <v>1.615</v>
      </c>
      <c r="E42" s="7">
        <v>1.57</v>
      </c>
      <c r="F42" s="7">
        <v>1.575</v>
      </c>
      <c r="G42" s="3">
        <v>2456865</v>
      </c>
      <c r="H42" s="3">
        <v>1767.05</v>
      </c>
      <c r="I42" s="3">
        <v>1121933336</v>
      </c>
      <c r="J42" s="21">
        <f t="shared" si="1"/>
        <v>21.198502780032221</v>
      </c>
    </row>
    <row r="43" spans="1:10" ht="15" customHeight="1" x14ac:dyDescent="0.2">
      <c r="A43" t="s">
        <v>9</v>
      </c>
      <c r="B43" s="9" t="s">
        <v>222</v>
      </c>
      <c r="C43" s="7">
        <v>1.57</v>
      </c>
      <c r="D43" s="7">
        <v>1.57</v>
      </c>
      <c r="E43" s="7">
        <v>1.48</v>
      </c>
      <c r="F43" s="7">
        <v>1.53</v>
      </c>
      <c r="G43" s="3">
        <v>7744766</v>
      </c>
      <c r="H43" s="3">
        <v>1716.56</v>
      </c>
      <c r="I43" s="3">
        <v>1121933336</v>
      </c>
      <c r="J43" s="21">
        <f t="shared" si="1"/>
        <v>20.592831272031304</v>
      </c>
    </row>
    <row r="44" spans="1:10" ht="15" customHeight="1" x14ac:dyDescent="0.2">
      <c r="A44" t="s">
        <v>9</v>
      </c>
      <c r="B44" s="9" t="s">
        <v>221</v>
      </c>
      <c r="C44" s="7">
        <v>1.5449999999999999</v>
      </c>
      <c r="D44" s="7">
        <v>1.58</v>
      </c>
      <c r="E44" s="7">
        <v>1.5449999999999999</v>
      </c>
      <c r="F44" s="7">
        <v>1.58</v>
      </c>
      <c r="G44" s="3">
        <v>4120456</v>
      </c>
      <c r="H44" s="3">
        <v>1772.65</v>
      </c>
      <c r="I44" s="3">
        <v>1121933336</v>
      </c>
      <c r="J44" s="21">
        <f t="shared" si="1"/>
        <v>21.265799614254547</v>
      </c>
    </row>
    <row r="45" spans="1:10" ht="15" customHeight="1" x14ac:dyDescent="0.2">
      <c r="A45" t="s">
        <v>9</v>
      </c>
      <c r="B45" s="9" t="s">
        <v>220</v>
      </c>
      <c r="C45" s="7">
        <v>1.625</v>
      </c>
      <c r="D45" s="7">
        <v>1.72</v>
      </c>
      <c r="E45" s="7">
        <v>1.625</v>
      </c>
      <c r="F45" s="7">
        <v>1.7</v>
      </c>
      <c r="G45" s="3">
        <v>4861599</v>
      </c>
      <c r="H45" s="3">
        <v>1907.29</v>
      </c>
      <c r="I45" s="3">
        <v>1121933336</v>
      </c>
      <c r="J45" s="21">
        <f t="shared" si="1"/>
        <v>22.880923635590335</v>
      </c>
    </row>
    <row r="46" spans="1:10" ht="15" customHeight="1" x14ac:dyDescent="0.2">
      <c r="A46" t="s">
        <v>9</v>
      </c>
      <c r="B46" s="9" t="s">
        <v>219</v>
      </c>
      <c r="C46" s="7">
        <v>1.7450000000000001</v>
      </c>
      <c r="D46" s="7">
        <v>1.84</v>
      </c>
      <c r="E46" s="7">
        <v>1.7250000000000001</v>
      </c>
      <c r="F46" s="7">
        <v>1.825</v>
      </c>
      <c r="G46" s="3">
        <v>9633247</v>
      </c>
      <c r="H46" s="3">
        <v>2047.53</v>
      </c>
      <c r="I46" s="3">
        <v>1121933336</v>
      </c>
      <c r="J46" s="21">
        <f t="shared" si="1"/>
        <v>24.563344491148449</v>
      </c>
    </row>
    <row r="47" spans="1:10" ht="15" customHeight="1" x14ac:dyDescent="0.2">
      <c r="A47" t="s">
        <v>9</v>
      </c>
      <c r="B47" s="9" t="s">
        <v>218</v>
      </c>
      <c r="C47" s="7">
        <v>1.82</v>
      </c>
      <c r="D47" s="7">
        <v>1.865</v>
      </c>
      <c r="E47" s="7">
        <v>1.82</v>
      </c>
      <c r="F47" s="7">
        <v>1.855</v>
      </c>
      <c r="G47" s="3">
        <v>7716550</v>
      </c>
      <c r="H47" s="3">
        <v>2081.19</v>
      </c>
      <c r="I47" s="3">
        <v>1121933336</v>
      </c>
      <c r="J47" s="21">
        <f t="shared" si="1"/>
        <v>24.967125496482396</v>
      </c>
    </row>
    <row r="48" spans="1:10" ht="15" customHeight="1" x14ac:dyDescent="0.2">
      <c r="A48" t="s">
        <v>9</v>
      </c>
      <c r="B48" s="9" t="s">
        <v>217</v>
      </c>
      <c r="C48" s="7">
        <v>1.875</v>
      </c>
      <c r="D48" s="7">
        <v>1.9850000000000001</v>
      </c>
      <c r="E48" s="7">
        <v>1.875</v>
      </c>
      <c r="F48" s="7">
        <v>1.917</v>
      </c>
      <c r="G48" s="3">
        <v>5796370</v>
      </c>
      <c r="H48" s="3">
        <v>2151.31</v>
      </c>
      <c r="I48" s="3">
        <v>1121933336</v>
      </c>
      <c r="J48" s="21">
        <f t="shared" si="1"/>
        <v>25.80160624083922</v>
      </c>
    </row>
    <row r="49" spans="1:10" ht="15" customHeight="1" x14ac:dyDescent="0.2">
      <c r="A49" t="s">
        <v>9</v>
      </c>
      <c r="B49" s="9" t="s">
        <v>216</v>
      </c>
      <c r="C49" s="7">
        <v>1.915</v>
      </c>
      <c r="D49" s="7">
        <v>1.92</v>
      </c>
      <c r="E49" s="7">
        <v>1.837</v>
      </c>
      <c r="F49" s="7">
        <v>1.86</v>
      </c>
      <c r="G49" s="3">
        <v>9841987</v>
      </c>
      <c r="H49" s="3">
        <v>2086.8000000000002</v>
      </c>
      <c r="I49" s="3">
        <v>1121933336</v>
      </c>
      <c r="J49" s="21">
        <f t="shared" si="1"/>
        <v>25.034422330704722</v>
      </c>
    </row>
    <row r="50" spans="1:10" ht="15" customHeight="1" x14ac:dyDescent="0.2">
      <c r="A50" t="s">
        <v>9</v>
      </c>
      <c r="B50" s="9" t="s">
        <v>215</v>
      </c>
      <c r="C50" s="7">
        <v>1.88</v>
      </c>
      <c r="D50" s="7">
        <v>1.905</v>
      </c>
      <c r="E50" s="7">
        <v>1.84</v>
      </c>
      <c r="F50" s="7">
        <v>1.87</v>
      </c>
      <c r="G50" s="3">
        <v>3768559</v>
      </c>
      <c r="H50" s="3">
        <v>2098.02</v>
      </c>
      <c r="I50" s="3">
        <v>1121933336</v>
      </c>
      <c r="J50" s="21">
        <f t="shared" si="1"/>
        <v>25.169015999149373</v>
      </c>
    </row>
    <row r="51" spans="1:10" ht="15" customHeight="1" x14ac:dyDescent="0.2">
      <c r="A51" t="s">
        <v>9</v>
      </c>
      <c r="B51" s="9" t="s">
        <v>214</v>
      </c>
      <c r="C51" s="7">
        <v>1.885</v>
      </c>
      <c r="D51" s="7">
        <v>1.915</v>
      </c>
      <c r="E51" s="7">
        <v>1.87</v>
      </c>
      <c r="F51" s="7">
        <v>1.895</v>
      </c>
      <c r="G51" s="3">
        <v>2929826</v>
      </c>
      <c r="H51" s="3">
        <v>2126.06</v>
      </c>
      <c r="I51" s="3">
        <v>1121933336</v>
      </c>
      <c r="J51" s="21">
        <f t="shared" si="1"/>
        <v>25.505500170260994</v>
      </c>
    </row>
    <row r="52" spans="1:10" ht="15" customHeight="1" x14ac:dyDescent="0.2">
      <c r="A52" t="s">
        <v>9</v>
      </c>
      <c r="B52" s="9" t="s">
        <v>213</v>
      </c>
      <c r="C52" s="7">
        <v>1.89</v>
      </c>
      <c r="D52" s="7">
        <v>1.91</v>
      </c>
      <c r="E52" s="7">
        <v>1.837</v>
      </c>
      <c r="F52" s="7">
        <v>1.89</v>
      </c>
      <c r="G52" s="3">
        <v>4131043</v>
      </c>
      <c r="H52" s="3">
        <v>2120.4499999999998</v>
      </c>
      <c r="I52" s="3">
        <v>1121933336</v>
      </c>
      <c r="J52" s="21">
        <f t="shared" si="1"/>
        <v>25.438203336038665</v>
      </c>
    </row>
    <row r="53" spans="1:10" ht="15" customHeight="1" x14ac:dyDescent="0.2">
      <c r="A53" t="s">
        <v>9</v>
      </c>
      <c r="B53" s="9" t="s">
        <v>212</v>
      </c>
      <c r="C53" s="7">
        <v>1.915</v>
      </c>
      <c r="D53" s="7">
        <v>1.95</v>
      </c>
      <c r="E53" s="7">
        <v>1.867</v>
      </c>
      <c r="F53" s="7">
        <v>1.895</v>
      </c>
      <c r="G53" s="3">
        <v>9945560</v>
      </c>
      <c r="H53" s="3">
        <v>2126.06</v>
      </c>
      <c r="I53" s="3">
        <v>1121933336</v>
      </c>
      <c r="J53" s="21">
        <f t="shared" si="1"/>
        <v>25.505500170260994</v>
      </c>
    </row>
    <row r="54" spans="1:10" ht="15" customHeight="1" x14ac:dyDescent="0.2">
      <c r="A54" t="s">
        <v>9</v>
      </c>
      <c r="B54" s="9" t="s">
        <v>211</v>
      </c>
      <c r="C54" s="7">
        <v>1.89</v>
      </c>
      <c r="D54" s="7">
        <v>1.96</v>
      </c>
      <c r="E54" s="7">
        <v>1.885</v>
      </c>
      <c r="F54" s="7">
        <v>1.92</v>
      </c>
      <c r="G54" s="3">
        <v>17964285</v>
      </c>
      <c r="H54" s="3">
        <v>2154.11</v>
      </c>
      <c r="I54" s="3">
        <v>1121933336</v>
      </c>
      <c r="J54" s="21">
        <f t="shared" si="1"/>
        <v>25.841984341372616</v>
      </c>
    </row>
    <row r="55" spans="1:10" ht="15" customHeight="1" x14ac:dyDescent="0.2">
      <c r="A55" t="s">
        <v>9</v>
      </c>
      <c r="B55" s="9" t="s">
        <v>210</v>
      </c>
      <c r="C55" s="7">
        <v>1.91</v>
      </c>
      <c r="D55" s="7">
        <v>1.92</v>
      </c>
      <c r="E55" s="7">
        <v>1.84</v>
      </c>
      <c r="F55" s="7">
        <v>1.865</v>
      </c>
      <c r="G55" s="3">
        <v>2919565</v>
      </c>
      <c r="H55" s="3">
        <v>2092.41</v>
      </c>
      <c r="I55" s="3">
        <v>1121933336</v>
      </c>
      <c r="J55" s="21">
        <f t="shared" si="1"/>
        <v>25.101719164927044</v>
      </c>
    </row>
    <row r="56" spans="1:10" ht="15" customHeight="1" x14ac:dyDescent="0.2">
      <c r="A56" t="s">
        <v>9</v>
      </c>
      <c r="B56" s="9" t="s">
        <v>209</v>
      </c>
      <c r="C56" s="7">
        <v>1.895</v>
      </c>
      <c r="D56" s="7">
        <v>1.895</v>
      </c>
      <c r="E56" s="7">
        <v>1.843</v>
      </c>
      <c r="F56" s="7">
        <v>1.885</v>
      </c>
      <c r="G56" s="3">
        <v>2593069</v>
      </c>
      <c r="H56" s="3">
        <v>2114.84</v>
      </c>
      <c r="I56" s="3">
        <v>1121933336</v>
      </c>
      <c r="J56" s="21">
        <f t="shared" si="1"/>
        <v>25.370906501816343</v>
      </c>
    </row>
    <row r="57" spans="1:10" ht="15" customHeight="1" x14ac:dyDescent="0.2">
      <c r="A57" t="s">
        <v>9</v>
      </c>
      <c r="B57" s="9" t="s">
        <v>208</v>
      </c>
      <c r="C57" s="7">
        <v>1.885</v>
      </c>
      <c r="D57" s="7">
        <v>1.885</v>
      </c>
      <c r="E57" s="7">
        <v>1.845</v>
      </c>
      <c r="F57" s="7">
        <v>1.88</v>
      </c>
      <c r="G57" s="3">
        <v>2415019</v>
      </c>
      <c r="H57" s="3">
        <v>2109.23</v>
      </c>
      <c r="I57" s="3">
        <v>1121933336</v>
      </c>
      <c r="J57" s="21">
        <f t="shared" si="1"/>
        <v>25.303609667594017</v>
      </c>
    </row>
    <row r="58" spans="1:10" ht="15" customHeight="1" x14ac:dyDescent="0.2">
      <c r="A58" t="s">
        <v>9</v>
      </c>
      <c r="B58" s="9" t="s">
        <v>207</v>
      </c>
      <c r="C58" s="7">
        <v>1.94</v>
      </c>
      <c r="D58" s="7">
        <v>1.98</v>
      </c>
      <c r="E58" s="7">
        <v>1.9</v>
      </c>
      <c r="F58" s="7">
        <v>1.92</v>
      </c>
      <c r="G58" s="3">
        <v>6933544</v>
      </c>
      <c r="H58" s="3">
        <v>2154.11</v>
      </c>
      <c r="I58" s="3">
        <v>1121933336</v>
      </c>
      <c r="J58" s="21">
        <f t="shared" si="1"/>
        <v>25.841984341372616</v>
      </c>
    </row>
    <row r="59" spans="1:10" ht="15" customHeight="1" x14ac:dyDescent="0.2">
      <c r="A59" t="s">
        <v>9</v>
      </c>
      <c r="B59" s="9" t="s">
        <v>206</v>
      </c>
      <c r="C59" s="7">
        <v>1.82</v>
      </c>
      <c r="D59" s="7">
        <v>1.835</v>
      </c>
      <c r="E59" s="7">
        <v>1.75</v>
      </c>
      <c r="F59" s="7">
        <v>1.8</v>
      </c>
      <c r="G59" s="3">
        <v>10360999</v>
      </c>
      <c r="H59" s="3">
        <v>2019.48</v>
      </c>
      <c r="I59" s="3">
        <v>1121933336</v>
      </c>
      <c r="J59" s="21">
        <f t="shared" si="1"/>
        <v>24.226860320036828</v>
      </c>
    </row>
    <row r="60" spans="1:10" ht="15" customHeight="1" x14ac:dyDescent="0.2">
      <c r="A60" t="s">
        <v>9</v>
      </c>
      <c r="B60" s="9" t="s">
        <v>205</v>
      </c>
      <c r="C60" s="7">
        <v>1.81</v>
      </c>
      <c r="D60" s="7">
        <v>1.83</v>
      </c>
      <c r="E60" s="7">
        <v>1.74</v>
      </c>
      <c r="F60" s="7">
        <v>1.8</v>
      </c>
      <c r="G60" s="3">
        <v>7314064</v>
      </c>
      <c r="H60" s="3">
        <v>2019.48</v>
      </c>
      <c r="I60" s="3">
        <v>1121933336</v>
      </c>
      <c r="J60" s="21">
        <f t="shared" si="1"/>
        <v>24.226860320036828</v>
      </c>
    </row>
    <row r="61" spans="1:10" ht="15" customHeight="1" x14ac:dyDescent="0.2">
      <c r="A61" t="s">
        <v>9</v>
      </c>
      <c r="B61" s="9" t="s">
        <v>204</v>
      </c>
      <c r="C61" s="7">
        <v>1.845</v>
      </c>
      <c r="D61" s="7">
        <v>1.853</v>
      </c>
      <c r="E61" s="7">
        <v>1.76</v>
      </c>
      <c r="F61" s="7">
        <v>1.76</v>
      </c>
      <c r="G61" s="3">
        <v>4447377</v>
      </c>
      <c r="H61" s="3">
        <v>1974.6</v>
      </c>
      <c r="I61" s="3">
        <v>1121933336</v>
      </c>
      <c r="J61" s="21">
        <f t="shared" si="1"/>
        <v>23.688485646258229</v>
      </c>
    </row>
    <row r="62" spans="1:10" ht="15" customHeight="1" x14ac:dyDescent="0.2">
      <c r="A62" t="s">
        <v>9</v>
      </c>
      <c r="B62" s="9" t="s">
        <v>203</v>
      </c>
      <c r="C62" s="7">
        <v>1.77</v>
      </c>
      <c r="D62" s="7">
        <v>1.8049999999999999</v>
      </c>
      <c r="E62" s="7">
        <v>1.72</v>
      </c>
      <c r="F62" s="7">
        <v>1.8049999999999999</v>
      </c>
      <c r="G62" s="3">
        <v>5035994</v>
      </c>
      <c r="H62" s="3">
        <v>2025.09</v>
      </c>
      <c r="I62" s="3">
        <v>1121933336</v>
      </c>
      <c r="J62" s="21">
        <f t="shared" si="1"/>
        <v>24.29415715425915</v>
      </c>
    </row>
    <row r="63" spans="1:10" ht="15" customHeight="1" x14ac:dyDescent="0.2">
      <c r="A63" t="s">
        <v>9</v>
      </c>
      <c r="B63" s="9" t="s">
        <v>202</v>
      </c>
      <c r="C63" s="7">
        <v>1.83</v>
      </c>
      <c r="D63" s="7">
        <v>1.89</v>
      </c>
      <c r="E63" s="7">
        <v>1.83</v>
      </c>
      <c r="F63" s="7">
        <v>1.855</v>
      </c>
      <c r="G63" s="3">
        <v>4712856</v>
      </c>
      <c r="H63" s="3">
        <v>2081.19</v>
      </c>
      <c r="I63" s="3">
        <v>1121933336</v>
      </c>
      <c r="J63" s="21">
        <f t="shared" si="1"/>
        <v>24.967125496482396</v>
      </c>
    </row>
    <row r="64" spans="1:10" ht="15" customHeight="1" x14ac:dyDescent="0.2">
      <c r="A64" t="s">
        <v>9</v>
      </c>
      <c r="B64" s="9" t="s">
        <v>201</v>
      </c>
      <c r="C64" s="7">
        <v>1.9</v>
      </c>
      <c r="D64" s="7">
        <v>1.95</v>
      </c>
      <c r="E64" s="7">
        <v>1.9</v>
      </c>
      <c r="F64" s="7">
        <v>1.9350000000000001</v>
      </c>
      <c r="G64" s="3">
        <v>4505602</v>
      </c>
      <c r="H64" s="3">
        <v>2170.94</v>
      </c>
      <c r="I64" s="3">
        <v>1121933336</v>
      </c>
      <c r="J64" s="21">
        <f t="shared" si="1"/>
        <v>26.043874844039589</v>
      </c>
    </row>
    <row r="65" spans="1:10" ht="15" customHeight="1" x14ac:dyDescent="0.2">
      <c r="A65" t="s">
        <v>9</v>
      </c>
      <c r="B65" s="9" t="s">
        <v>200</v>
      </c>
      <c r="C65" s="7">
        <v>1.95</v>
      </c>
      <c r="D65" s="7">
        <v>1.96</v>
      </c>
      <c r="E65" s="7">
        <v>1.9</v>
      </c>
      <c r="F65" s="7">
        <v>1.905</v>
      </c>
      <c r="G65" s="3">
        <v>5249802</v>
      </c>
      <c r="H65" s="3">
        <v>2137.2800000000002</v>
      </c>
      <c r="I65" s="3">
        <v>1121933336</v>
      </c>
      <c r="J65" s="21">
        <f t="shared" si="1"/>
        <v>25.640093838705642</v>
      </c>
    </row>
    <row r="66" spans="1:10" ht="15" customHeight="1" x14ac:dyDescent="0.2">
      <c r="A66" t="s">
        <v>9</v>
      </c>
      <c r="B66" s="9" t="s">
        <v>199</v>
      </c>
      <c r="C66" s="7">
        <v>1.9350000000000001</v>
      </c>
      <c r="D66" s="7">
        <v>1.9450000000000001</v>
      </c>
      <c r="E66" s="7">
        <v>1.89</v>
      </c>
      <c r="F66" s="7">
        <v>1.91</v>
      </c>
      <c r="G66" s="3">
        <v>4492842</v>
      </c>
      <c r="H66" s="3">
        <v>2142.89</v>
      </c>
      <c r="I66" s="3">
        <v>1121933336</v>
      </c>
      <c r="J66" s="21">
        <f t="shared" si="1"/>
        <v>25.707390672927964</v>
      </c>
    </row>
    <row r="67" spans="1:10" ht="15" customHeight="1" x14ac:dyDescent="0.2">
      <c r="A67" t="s">
        <v>9</v>
      </c>
      <c r="B67" s="9" t="s">
        <v>198</v>
      </c>
      <c r="C67" s="7">
        <v>1.89</v>
      </c>
      <c r="D67" s="7">
        <v>1.89</v>
      </c>
      <c r="E67" s="7">
        <v>1.845</v>
      </c>
      <c r="F67" s="7">
        <v>1.855</v>
      </c>
      <c r="G67" s="3">
        <v>2056404</v>
      </c>
      <c r="H67" s="3">
        <v>2081.19</v>
      </c>
      <c r="I67" s="3">
        <v>1121933336</v>
      </c>
      <c r="J67" s="21">
        <f t="shared" si="1"/>
        <v>24.967125496482396</v>
      </c>
    </row>
    <row r="68" spans="1:10" ht="15" customHeight="1" x14ac:dyDescent="0.2">
      <c r="A68" t="s">
        <v>9</v>
      </c>
      <c r="B68" s="9" t="s">
        <v>197</v>
      </c>
      <c r="C68" s="7">
        <v>1.9</v>
      </c>
      <c r="D68" s="7">
        <v>1.958</v>
      </c>
      <c r="E68" s="7">
        <v>1.865</v>
      </c>
      <c r="F68" s="7">
        <v>1.9450000000000001</v>
      </c>
      <c r="G68" s="3">
        <v>5630953</v>
      </c>
      <c r="H68" s="3">
        <v>2182.16</v>
      </c>
      <c r="I68" s="3">
        <v>1121933336</v>
      </c>
      <c r="J68" s="21">
        <f t="shared" si="1"/>
        <v>26.178468512484237</v>
      </c>
    </row>
    <row r="69" spans="1:10" ht="15" customHeight="1" x14ac:dyDescent="0.2">
      <c r="A69" t="s">
        <v>9</v>
      </c>
      <c r="B69" s="9" t="s">
        <v>196</v>
      </c>
      <c r="C69" s="7">
        <v>1.97</v>
      </c>
      <c r="D69" s="7">
        <v>1.97</v>
      </c>
      <c r="E69" s="7">
        <v>1.93</v>
      </c>
      <c r="F69" s="7">
        <v>1.95</v>
      </c>
      <c r="G69" s="3">
        <v>3540812</v>
      </c>
      <c r="H69" s="3">
        <v>2187.77</v>
      </c>
      <c r="I69" s="3">
        <v>1121933336</v>
      </c>
      <c r="J69" s="21">
        <f t="shared" si="1"/>
        <v>26.245765346706563</v>
      </c>
    </row>
    <row r="70" spans="1:10" ht="15" customHeight="1" x14ac:dyDescent="0.2">
      <c r="A70" t="s">
        <v>9</v>
      </c>
      <c r="B70" s="9" t="s">
        <v>195</v>
      </c>
      <c r="C70" s="7">
        <v>1.9350000000000001</v>
      </c>
      <c r="D70" s="7">
        <v>1.9450000000000001</v>
      </c>
      <c r="E70" s="7">
        <v>1.915</v>
      </c>
      <c r="F70" s="7">
        <v>1.9450000000000001</v>
      </c>
      <c r="G70" s="3">
        <v>4628780</v>
      </c>
      <c r="H70" s="3">
        <v>2182.16</v>
      </c>
      <c r="I70" s="3">
        <v>1121933336</v>
      </c>
      <c r="J70" s="21">
        <f t="shared" si="1"/>
        <v>26.178468512484237</v>
      </c>
    </row>
    <row r="71" spans="1:10" ht="15" customHeight="1" x14ac:dyDescent="0.2">
      <c r="A71" t="s">
        <v>9</v>
      </c>
      <c r="B71" s="9" t="s">
        <v>194</v>
      </c>
      <c r="C71" s="7">
        <v>1.89</v>
      </c>
      <c r="D71" s="7">
        <v>1.9450000000000001</v>
      </c>
      <c r="E71" s="7">
        <v>1.89</v>
      </c>
      <c r="F71" s="7">
        <v>1.915</v>
      </c>
      <c r="G71" s="3">
        <v>7741608</v>
      </c>
      <c r="H71" s="3">
        <v>2148.5</v>
      </c>
      <c r="I71" s="3">
        <v>1121933336</v>
      </c>
      <c r="J71" s="21">
        <f t="shared" ref="J71:J134" si="2">F71/0.0742977</f>
        <v>25.77468750715029</v>
      </c>
    </row>
    <row r="72" spans="1:10" ht="15" customHeight="1" x14ac:dyDescent="0.2">
      <c r="A72" t="s">
        <v>9</v>
      </c>
      <c r="B72" s="9" t="s">
        <v>193</v>
      </c>
      <c r="C72" s="7">
        <v>1.9450000000000001</v>
      </c>
      <c r="D72" s="7">
        <v>2.0099999999999998</v>
      </c>
      <c r="E72" s="7">
        <v>1.9419999999999999</v>
      </c>
      <c r="F72" s="7">
        <v>1.9850000000000001</v>
      </c>
      <c r="G72" s="3">
        <v>8903904</v>
      </c>
      <c r="H72" s="3">
        <v>2227.04</v>
      </c>
      <c r="I72" s="3">
        <v>1121933336</v>
      </c>
      <c r="J72" s="21">
        <f t="shared" si="2"/>
        <v>26.716843186262835</v>
      </c>
    </row>
    <row r="73" spans="1:10" ht="15" customHeight="1" x14ac:dyDescent="0.2">
      <c r="A73" t="s">
        <v>9</v>
      </c>
      <c r="B73" s="9" t="s">
        <v>192</v>
      </c>
      <c r="C73" s="7">
        <v>1.9350000000000001</v>
      </c>
      <c r="D73" s="7">
        <v>1.9550000000000001</v>
      </c>
      <c r="E73" s="7">
        <v>1.895</v>
      </c>
      <c r="F73" s="7">
        <v>1.895</v>
      </c>
      <c r="G73" s="3">
        <v>4038891</v>
      </c>
      <c r="H73" s="3">
        <v>2126.06</v>
      </c>
      <c r="I73" s="3">
        <v>1121933336</v>
      </c>
      <c r="J73" s="21">
        <f t="shared" si="2"/>
        <v>25.505500170260994</v>
      </c>
    </row>
    <row r="74" spans="1:10" ht="15" customHeight="1" x14ac:dyDescent="0.2">
      <c r="A74" t="s">
        <v>9</v>
      </c>
      <c r="B74" s="9" t="s">
        <v>191</v>
      </c>
      <c r="C74" s="7">
        <v>1.87</v>
      </c>
      <c r="D74" s="7">
        <v>1.895</v>
      </c>
      <c r="E74" s="7">
        <v>1.837</v>
      </c>
      <c r="F74" s="7">
        <v>1.845</v>
      </c>
      <c r="G74" s="3">
        <v>4579608</v>
      </c>
      <c r="H74" s="3">
        <v>2069.9699999999998</v>
      </c>
      <c r="I74" s="3">
        <v>1121933336</v>
      </c>
      <c r="J74" s="21">
        <f t="shared" si="2"/>
        <v>24.832531828037748</v>
      </c>
    </row>
    <row r="75" spans="1:10" ht="15" customHeight="1" x14ac:dyDescent="0.2">
      <c r="A75" t="s">
        <v>9</v>
      </c>
      <c r="B75" s="9" t="s">
        <v>190</v>
      </c>
      <c r="C75" s="7">
        <v>1.855</v>
      </c>
      <c r="D75" s="7">
        <v>1.895</v>
      </c>
      <c r="E75" s="7">
        <v>1.85</v>
      </c>
      <c r="F75" s="7">
        <v>1.88</v>
      </c>
      <c r="G75" s="3">
        <v>4152897</v>
      </c>
      <c r="H75" s="3">
        <v>2109.23</v>
      </c>
      <c r="I75" s="3">
        <v>1121933336</v>
      </c>
      <c r="J75" s="21">
        <f t="shared" si="2"/>
        <v>25.303609667594017</v>
      </c>
    </row>
    <row r="76" spans="1:10" ht="15" customHeight="1" x14ac:dyDescent="0.2">
      <c r="A76" t="s">
        <v>9</v>
      </c>
      <c r="B76" s="9" t="s">
        <v>189</v>
      </c>
      <c r="C76" s="7">
        <v>1.87</v>
      </c>
      <c r="D76" s="7">
        <v>1.9</v>
      </c>
      <c r="E76" s="7">
        <v>1.8149999999999999</v>
      </c>
      <c r="F76" s="7">
        <v>1.825</v>
      </c>
      <c r="G76" s="3">
        <v>5565001</v>
      </c>
      <c r="H76" s="3">
        <v>2047.53</v>
      </c>
      <c r="I76" s="3">
        <v>1121933336</v>
      </c>
      <c r="J76" s="21">
        <f t="shared" si="2"/>
        <v>24.563344491148449</v>
      </c>
    </row>
    <row r="77" spans="1:10" ht="15" customHeight="1" x14ac:dyDescent="0.2">
      <c r="A77" t="s">
        <v>9</v>
      </c>
      <c r="B77" s="9" t="s">
        <v>188</v>
      </c>
      <c r="C77" s="7">
        <v>1.81</v>
      </c>
      <c r="D77" s="7">
        <v>1.89</v>
      </c>
      <c r="E77" s="7">
        <v>1.7949999999999999</v>
      </c>
      <c r="F77" s="7">
        <v>1.875</v>
      </c>
      <c r="G77" s="3">
        <v>6280508</v>
      </c>
      <c r="H77" s="3">
        <v>2103.63</v>
      </c>
      <c r="I77" s="3">
        <v>1121933336</v>
      </c>
      <c r="J77" s="21">
        <f t="shared" si="2"/>
        <v>25.236312833371695</v>
      </c>
    </row>
    <row r="78" spans="1:10" ht="15" customHeight="1" x14ac:dyDescent="0.2">
      <c r="A78" t="s">
        <v>9</v>
      </c>
      <c r="B78" s="9" t="s">
        <v>187</v>
      </c>
      <c r="C78" s="7">
        <v>1.895</v>
      </c>
      <c r="D78" s="7">
        <v>1.905</v>
      </c>
      <c r="E78" s="7">
        <v>1.825</v>
      </c>
      <c r="F78" s="7">
        <v>1.835</v>
      </c>
      <c r="G78" s="3">
        <v>4313971</v>
      </c>
      <c r="H78" s="3">
        <v>2058.75</v>
      </c>
      <c r="I78" s="3">
        <v>1121933336</v>
      </c>
      <c r="J78" s="21">
        <f t="shared" si="2"/>
        <v>24.697938159593097</v>
      </c>
    </row>
    <row r="79" spans="1:10" ht="15" customHeight="1" x14ac:dyDescent="0.2">
      <c r="A79" t="s">
        <v>9</v>
      </c>
      <c r="B79" s="9" t="s">
        <v>186</v>
      </c>
      <c r="C79" s="7">
        <v>1.77</v>
      </c>
      <c r="D79" s="7">
        <v>1.7849999999999999</v>
      </c>
      <c r="E79" s="7">
        <v>1.72</v>
      </c>
      <c r="F79" s="7">
        <v>1.7450000000000001</v>
      </c>
      <c r="G79" s="3">
        <v>5172175</v>
      </c>
      <c r="H79" s="3">
        <v>1957.77</v>
      </c>
      <c r="I79" s="3">
        <v>1121933336</v>
      </c>
      <c r="J79" s="21">
        <f t="shared" si="2"/>
        <v>23.486595143591259</v>
      </c>
    </row>
    <row r="80" spans="1:10" ht="15" customHeight="1" x14ac:dyDescent="0.2">
      <c r="A80" t="s">
        <v>9</v>
      </c>
      <c r="B80" s="9" t="s">
        <v>185</v>
      </c>
      <c r="C80" s="7">
        <v>1.77</v>
      </c>
      <c r="D80" s="7">
        <v>1.792</v>
      </c>
      <c r="E80" s="7">
        <v>1.7549999999999999</v>
      </c>
      <c r="F80" s="7">
        <v>1.7649999999999999</v>
      </c>
      <c r="G80" s="3">
        <v>2382639</v>
      </c>
      <c r="H80" s="3">
        <v>1980.21</v>
      </c>
      <c r="I80" s="3">
        <v>1121933336</v>
      </c>
      <c r="J80" s="21">
        <f t="shared" si="2"/>
        <v>23.755782480480555</v>
      </c>
    </row>
    <row r="81" spans="1:10" ht="15" customHeight="1" x14ac:dyDescent="0.2">
      <c r="A81" t="s">
        <v>9</v>
      </c>
      <c r="B81" s="9" t="s">
        <v>184</v>
      </c>
      <c r="C81" s="7">
        <v>1.77</v>
      </c>
      <c r="D81" s="7">
        <v>1.8</v>
      </c>
      <c r="E81" s="7">
        <v>1.74</v>
      </c>
      <c r="F81" s="7">
        <v>1.7549999999999999</v>
      </c>
      <c r="G81" s="3">
        <v>2759603</v>
      </c>
      <c r="H81" s="3">
        <v>1968.99</v>
      </c>
      <c r="I81" s="3">
        <v>1121933336</v>
      </c>
      <c r="J81" s="21">
        <f t="shared" si="2"/>
        <v>23.621188812035903</v>
      </c>
    </row>
    <row r="82" spans="1:10" ht="15" customHeight="1" x14ac:dyDescent="0.2">
      <c r="A82" t="s">
        <v>9</v>
      </c>
      <c r="B82" s="9" t="s">
        <v>183</v>
      </c>
      <c r="C82" s="7">
        <v>1.7649999999999999</v>
      </c>
      <c r="D82" s="7">
        <v>1.79</v>
      </c>
      <c r="E82" s="7">
        <v>1.7450000000000001</v>
      </c>
      <c r="F82" s="7">
        <v>1.77</v>
      </c>
      <c r="G82" s="3">
        <v>4001107</v>
      </c>
      <c r="H82" s="3">
        <v>1985.82</v>
      </c>
      <c r="I82" s="3">
        <v>1121933336</v>
      </c>
      <c r="J82" s="21">
        <f t="shared" si="2"/>
        <v>23.823079314702881</v>
      </c>
    </row>
    <row r="83" spans="1:10" ht="15" customHeight="1" x14ac:dyDescent="0.2">
      <c r="A83" t="s">
        <v>9</v>
      </c>
      <c r="B83" s="9" t="s">
        <v>182</v>
      </c>
      <c r="C83" s="7">
        <v>1.81</v>
      </c>
      <c r="D83" s="7">
        <v>1.825</v>
      </c>
      <c r="E83" s="7">
        <v>1.76</v>
      </c>
      <c r="F83" s="7">
        <v>1.76</v>
      </c>
      <c r="G83" s="3">
        <v>3946963</v>
      </c>
      <c r="H83" s="3">
        <v>1974.6</v>
      </c>
      <c r="I83" s="3">
        <v>1121933336</v>
      </c>
      <c r="J83" s="21">
        <f t="shared" si="2"/>
        <v>23.688485646258229</v>
      </c>
    </row>
    <row r="84" spans="1:10" ht="15" customHeight="1" x14ac:dyDescent="0.2">
      <c r="A84" t="s">
        <v>9</v>
      </c>
      <c r="B84" s="9" t="s">
        <v>181</v>
      </c>
      <c r="C84" s="7">
        <v>1.6950000000000001</v>
      </c>
      <c r="D84" s="7">
        <v>1.7050000000000001</v>
      </c>
      <c r="E84" s="7">
        <v>1.665</v>
      </c>
      <c r="F84" s="7">
        <v>1.68</v>
      </c>
      <c r="G84" s="3">
        <v>3486357</v>
      </c>
      <c r="H84" s="3">
        <v>1884.85</v>
      </c>
      <c r="I84" s="3">
        <v>1121933336</v>
      </c>
      <c r="J84" s="21">
        <f t="shared" si="2"/>
        <v>22.611736298701036</v>
      </c>
    </row>
    <row r="85" spans="1:10" ht="15" customHeight="1" x14ac:dyDescent="0.2">
      <c r="A85" t="s">
        <v>9</v>
      </c>
      <c r="B85" s="9" t="s">
        <v>180</v>
      </c>
      <c r="C85" s="7">
        <v>1.7</v>
      </c>
      <c r="D85" s="7">
        <v>1.738</v>
      </c>
      <c r="E85" s="7">
        <v>1.7</v>
      </c>
      <c r="F85" s="7">
        <v>1.7</v>
      </c>
      <c r="G85" s="3">
        <v>2215962</v>
      </c>
      <c r="H85" s="3">
        <v>1907.29</v>
      </c>
      <c r="I85" s="3">
        <v>1121933336</v>
      </c>
      <c r="J85" s="21">
        <f t="shared" si="2"/>
        <v>22.880923635590335</v>
      </c>
    </row>
    <row r="86" spans="1:10" ht="15" customHeight="1" x14ac:dyDescent="0.2">
      <c r="A86" t="s">
        <v>9</v>
      </c>
      <c r="B86" s="9" t="s">
        <v>179</v>
      </c>
      <c r="C86" s="7">
        <v>1.7050000000000001</v>
      </c>
      <c r="D86" s="7">
        <v>1.7150000000000001</v>
      </c>
      <c r="E86" s="7">
        <v>1.67</v>
      </c>
      <c r="F86" s="7">
        <v>1.7</v>
      </c>
      <c r="G86" s="3">
        <v>4069173</v>
      </c>
      <c r="H86" s="3">
        <v>1907.29</v>
      </c>
      <c r="I86" s="3">
        <v>1121933336</v>
      </c>
      <c r="J86" s="21">
        <f t="shared" si="2"/>
        <v>22.880923635590335</v>
      </c>
    </row>
    <row r="87" spans="1:10" ht="15" customHeight="1" x14ac:dyDescent="0.2">
      <c r="A87" t="s">
        <v>9</v>
      </c>
      <c r="B87" s="9" t="s">
        <v>178</v>
      </c>
      <c r="C87" s="7">
        <v>1.7</v>
      </c>
      <c r="D87" s="7">
        <v>1.74</v>
      </c>
      <c r="E87" s="7">
        <v>1.7</v>
      </c>
      <c r="F87" s="7">
        <v>1.71</v>
      </c>
      <c r="G87" s="3">
        <v>2282699</v>
      </c>
      <c r="H87" s="3">
        <v>1918.51</v>
      </c>
      <c r="I87" s="3">
        <v>1121933336</v>
      </c>
      <c r="J87" s="21">
        <f t="shared" si="2"/>
        <v>23.015517304034987</v>
      </c>
    </row>
    <row r="88" spans="1:10" ht="15" customHeight="1" x14ac:dyDescent="0.2">
      <c r="A88" t="s">
        <v>9</v>
      </c>
      <c r="B88" s="9" t="s">
        <v>177</v>
      </c>
      <c r="C88" s="7">
        <v>1.7450000000000001</v>
      </c>
      <c r="D88" s="7">
        <v>1.7949999999999999</v>
      </c>
      <c r="E88" s="7">
        <v>1.7350000000000001</v>
      </c>
      <c r="F88" s="7">
        <v>1.79</v>
      </c>
      <c r="G88" s="3">
        <v>2665038</v>
      </c>
      <c r="H88" s="3">
        <v>2008.26</v>
      </c>
      <c r="I88" s="3">
        <v>1121933336</v>
      </c>
      <c r="J88" s="21">
        <f t="shared" si="2"/>
        <v>24.09226665159218</v>
      </c>
    </row>
    <row r="89" spans="1:10" ht="15" customHeight="1" x14ac:dyDescent="0.2">
      <c r="A89" t="s">
        <v>9</v>
      </c>
      <c r="B89" s="9" t="s">
        <v>176</v>
      </c>
      <c r="C89" s="7">
        <v>1.7949999999999999</v>
      </c>
      <c r="D89" s="7">
        <v>1.8049999999999999</v>
      </c>
      <c r="E89" s="7">
        <v>1.78</v>
      </c>
      <c r="F89" s="7">
        <v>1.7949999999999999</v>
      </c>
      <c r="G89" s="3">
        <v>2011304</v>
      </c>
      <c r="H89" s="3">
        <v>2013.87</v>
      </c>
      <c r="I89" s="3">
        <v>1121933336</v>
      </c>
      <c r="J89" s="21">
        <f t="shared" si="2"/>
        <v>24.159563485814502</v>
      </c>
    </row>
    <row r="90" spans="1:10" ht="15" customHeight="1" x14ac:dyDescent="0.2">
      <c r="A90" t="s">
        <v>9</v>
      </c>
      <c r="B90" s="9" t="s">
        <v>175</v>
      </c>
      <c r="C90" s="7">
        <v>1.7849999999999999</v>
      </c>
      <c r="D90" s="7">
        <v>1.79</v>
      </c>
      <c r="E90" s="7">
        <v>1.7549999999999999</v>
      </c>
      <c r="F90" s="7">
        <v>1.77</v>
      </c>
      <c r="G90" s="3">
        <v>1992374</v>
      </c>
      <c r="H90" s="3">
        <v>1985.82</v>
      </c>
      <c r="I90" s="3">
        <v>1121933336</v>
      </c>
      <c r="J90" s="21">
        <f t="shared" si="2"/>
        <v>23.823079314702881</v>
      </c>
    </row>
    <row r="91" spans="1:10" ht="15" customHeight="1" x14ac:dyDescent="0.2">
      <c r="A91" t="s">
        <v>9</v>
      </c>
      <c r="B91" s="9" t="s">
        <v>174</v>
      </c>
      <c r="C91" s="7">
        <v>1.82</v>
      </c>
      <c r="D91" s="7">
        <v>1.83</v>
      </c>
      <c r="E91" s="7">
        <v>1.7949999999999999</v>
      </c>
      <c r="F91" s="7">
        <v>1.8149999999999999</v>
      </c>
      <c r="G91" s="3">
        <v>8353759</v>
      </c>
      <c r="H91" s="3">
        <v>2036.31</v>
      </c>
      <c r="I91" s="3">
        <v>1121933336</v>
      </c>
      <c r="J91" s="21">
        <f t="shared" si="2"/>
        <v>24.428750822703801</v>
      </c>
    </row>
    <row r="92" spans="1:10" ht="15" customHeight="1" x14ac:dyDescent="0.2">
      <c r="A92" t="s">
        <v>9</v>
      </c>
      <c r="B92" s="9" t="s">
        <v>173</v>
      </c>
      <c r="C92" s="7">
        <v>1.82</v>
      </c>
      <c r="D92" s="7">
        <v>1.83</v>
      </c>
      <c r="E92" s="7">
        <v>1.7949999999999999</v>
      </c>
      <c r="F92" s="7">
        <v>1.825</v>
      </c>
      <c r="G92" s="3">
        <v>1826156</v>
      </c>
      <c r="H92" s="3">
        <v>2047.53</v>
      </c>
      <c r="I92" s="3">
        <v>1121933336</v>
      </c>
      <c r="J92" s="21">
        <f t="shared" si="2"/>
        <v>24.563344491148449</v>
      </c>
    </row>
    <row r="93" spans="1:10" ht="15" customHeight="1" x14ac:dyDescent="0.2">
      <c r="A93" t="s">
        <v>9</v>
      </c>
      <c r="B93" s="9" t="s">
        <v>172</v>
      </c>
      <c r="C93" s="7">
        <v>1.82</v>
      </c>
      <c r="D93" s="7">
        <v>1.855</v>
      </c>
      <c r="E93" s="7">
        <v>1.78</v>
      </c>
      <c r="F93" s="7">
        <v>1.845</v>
      </c>
      <c r="G93" s="3">
        <v>2863841</v>
      </c>
      <c r="H93" s="3">
        <v>2069.9699999999998</v>
      </c>
      <c r="I93" s="3">
        <v>1121933336</v>
      </c>
      <c r="J93" s="21">
        <f t="shared" si="2"/>
        <v>24.832531828037748</v>
      </c>
    </row>
    <row r="94" spans="1:10" ht="15" customHeight="1" x14ac:dyDescent="0.2">
      <c r="A94" t="s">
        <v>9</v>
      </c>
      <c r="B94" s="9" t="s">
        <v>171</v>
      </c>
      <c r="C94" s="7">
        <v>1.87</v>
      </c>
      <c r="D94" s="7">
        <v>1.87</v>
      </c>
      <c r="E94" s="7">
        <v>1.8149999999999999</v>
      </c>
      <c r="F94" s="7">
        <v>1.8149999999999999</v>
      </c>
      <c r="G94" s="3">
        <v>1792463</v>
      </c>
      <c r="H94" s="3">
        <v>2036.31</v>
      </c>
      <c r="I94" s="3">
        <v>1121933336</v>
      </c>
      <c r="J94" s="21">
        <f t="shared" si="2"/>
        <v>24.428750822703801</v>
      </c>
    </row>
    <row r="95" spans="1:10" ht="15" customHeight="1" x14ac:dyDescent="0.2">
      <c r="A95" t="s">
        <v>9</v>
      </c>
      <c r="B95" s="9" t="s">
        <v>170</v>
      </c>
      <c r="C95" s="7">
        <v>1.85</v>
      </c>
      <c r="D95" s="7">
        <v>1.89</v>
      </c>
      <c r="E95" s="7">
        <v>1.845</v>
      </c>
      <c r="F95" s="7">
        <v>1.875</v>
      </c>
      <c r="G95" s="3">
        <v>2368807</v>
      </c>
      <c r="H95" s="3">
        <v>2103.63</v>
      </c>
      <c r="I95" s="3">
        <v>1121933336</v>
      </c>
      <c r="J95" s="21">
        <f t="shared" si="2"/>
        <v>25.236312833371695</v>
      </c>
    </row>
    <row r="96" spans="1:10" ht="15" customHeight="1" x14ac:dyDescent="0.2">
      <c r="A96" t="s">
        <v>9</v>
      </c>
      <c r="B96" s="9" t="s">
        <v>169</v>
      </c>
      <c r="C96" s="7">
        <v>1.855</v>
      </c>
      <c r="D96" s="7">
        <v>1.875</v>
      </c>
      <c r="E96" s="7">
        <v>1.84</v>
      </c>
      <c r="F96" s="7">
        <v>1.87</v>
      </c>
      <c r="G96" s="3">
        <v>1317083</v>
      </c>
      <c r="H96" s="3">
        <v>2098.02</v>
      </c>
      <c r="I96" s="3">
        <v>1121933336</v>
      </c>
      <c r="J96" s="21">
        <f t="shared" si="2"/>
        <v>25.169015999149373</v>
      </c>
    </row>
    <row r="97" spans="1:10" ht="15" customHeight="1" x14ac:dyDescent="0.2">
      <c r="A97" t="s">
        <v>9</v>
      </c>
      <c r="B97" s="9" t="s">
        <v>168</v>
      </c>
      <c r="C97" s="7">
        <v>1.9</v>
      </c>
      <c r="D97" s="7">
        <v>1.94</v>
      </c>
      <c r="E97" s="7">
        <v>1.9</v>
      </c>
      <c r="F97" s="7">
        <v>1.915</v>
      </c>
      <c r="G97" s="3">
        <v>3156044</v>
      </c>
      <c r="H97" s="3">
        <v>2148.5</v>
      </c>
      <c r="I97" s="3">
        <v>1121933336</v>
      </c>
      <c r="J97" s="21">
        <f t="shared" si="2"/>
        <v>25.77468750715029</v>
      </c>
    </row>
    <row r="98" spans="1:10" ht="15" customHeight="1" x14ac:dyDescent="0.2">
      <c r="A98" t="s">
        <v>9</v>
      </c>
      <c r="B98" s="9" t="s">
        <v>167</v>
      </c>
      <c r="C98" s="7">
        <v>1.915</v>
      </c>
      <c r="D98" s="7">
        <v>1.94</v>
      </c>
      <c r="E98" s="7">
        <v>1.915</v>
      </c>
      <c r="F98" s="7">
        <v>1.92</v>
      </c>
      <c r="G98" s="3">
        <v>6748817</v>
      </c>
      <c r="H98" s="3">
        <v>2154.11</v>
      </c>
      <c r="I98" s="3">
        <v>1121933336</v>
      </c>
      <c r="J98" s="21">
        <f t="shared" si="2"/>
        <v>25.841984341372616</v>
      </c>
    </row>
    <row r="99" spans="1:10" ht="15" customHeight="1" x14ac:dyDescent="0.2">
      <c r="A99" t="s">
        <v>9</v>
      </c>
      <c r="B99" s="9" t="s">
        <v>166</v>
      </c>
      <c r="C99" s="7">
        <v>1.92</v>
      </c>
      <c r="D99" s="7">
        <v>1.925</v>
      </c>
      <c r="E99" s="7">
        <v>1.883</v>
      </c>
      <c r="F99" s="7">
        <v>1.89</v>
      </c>
      <c r="G99" s="3">
        <v>3186945</v>
      </c>
      <c r="H99" s="3">
        <v>2120.4499999999998</v>
      </c>
      <c r="I99" s="3">
        <v>1121933336</v>
      </c>
      <c r="J99" s="21">
        <f t="shared" si="2"/>
        <v>25.438203336038665</v>
      </c>
    </row>
    <row r="100" spans="1:10" ht="15" customHeight="1" x14ac:dyDescent="0.2">
      <c r="A100" t="s">
        <v>9</v>
      </c>
      <c r="B100" s="9" t="s">
        <v>165</v>
      </c>
      <c r="C100" s="7">
        <v>1.845</v>
      </c>
      <c r="D100" s="7">
        <v>1.845</v>
      </c>
      <c r="E100" s="7">
        <v>1.79</v>
      </c>
      <c r="F100" s="7">
        <v>1.79</v>
      </c>
      <c r="G100" s="3">
        <v>3258518</v>
      </c>
      <c r="H100" s="3">
        <v>2008.26</v>
      </c>
      <c r="I100" s="3">
        <v>1121933336</v>
      </c>
      <c r="J100" s="21">
        <f t="shared" si="2"/>
        <v>24.09226665159218</v>
      </c>
    </row>
    <row r="101" spans="1:10" ht="15" customHeight="1" x14ac:dyDescent="0.2">
      <c r="A101" t="s">
        <v>9</v>
      </c>
      <c r="B101" s="9" t="s">
        <v>164</v>
      </c>
      <c r="C101" s="7">
        <v>1.77</v>
      </c>
      <c r="D101" s="7">
        <v>1.79</v>
      </c>
      <c r="E101" s="7">
        <v>1.7549999999999999</v>
      </c>
      <c r="F101" s="7">
        <v>1.78</v>
      </c>
      <c r="G101" s="3">
        <v>2876146</v>
      </c>
      <c r="H101" s="3">
        <v>1997.04</v>
      </c>
      <c r="I101" s="3">
        <v>1121933336</v>
      </c>
      <c r="J101" s="21">
        <f t="shared" si="2"/>
        <v>23.957672983147528</v>
      </c>
    </row>
    <row r="102" spans="1:10" ht="15" customHeight="1" x14ac:dyDescent="0.2">
      <c r="A102" t="s">
        <v>9</v>
      </c>
      <c r="B102" s="9" t="s">
        <v>163</v>
      </c>
      <c r="C102" s="7">
        <v>1.8</v>
      </c>
      <c r="D102" s="7">
        <v>1.855</v>
      </c>
      <c r="E102" s="7">
        <v>1.7949999999999999</v>
      </c>
      <c r="F102" s="7">
        <v>1.855</v>
      </c>
      <c r="G102" s="3">
        <v>2156957</v>
      </c>
      <c r="H102" s="3">
        <v>2081.19</v>
      </c>
      <c r="I102" s="3">
        <v>1121933336</v>
      </c>
      <c r="J102" s="21">
        <f t="shared" si="2"/>
        <v>24.967125496482396</v>
      </c>
    </row>
    <row r="103" spans="1:10" ht="15" customHeight="1" x14ac:dyDescent="0.2">
      <c r="A103" t="s">
        <v>9</v>
      </c>
      <c r="B103" s="9" t="s">
        <v>162</v>
      </c>
      <c r="C103" s="7">
        <v>1.88</v>
      </c>
      <c r="D103" s="7">
        <v>1.88</v>
      </c>
      <c r="E103" s="7">
        <v>1.835</v>
      </c>
      <c r="F103" s="7">
        <v>1.85</v>
      </c>
      <c r="G103" s="3">
        <v>2308291</v>
      </c>
      <c r="H103" s="3">
        <v>2075.58</v>
      </c>
      <c r="I103" s="3">
        <v>1121933336</v>
      </c>
      <c r="J103" s="21">
        <f t="shared" si="2"/>
        <v>24.899828662260074</v>
      </c>
    </row>
    <row r="104" spans="1:10" ht="15" customHeight="1" x14ac:dyDescent="0.2">
      <c r="A104" t="s">
        <v>9</v>
      </c>
      <c r="B104" s="9" t="s">
        <v>161</v>
      </c>
      <c r="C104" s="7">
        <v>1.84</v>
      </c>
      <c r="D104" s="7">
        <v>1.9450000000000001</v>
      </c>
      <c r="E104" s="7">
        <v>1.84</v>
      </c>
      <c r="F104" s="7">
        <v>1.91</v>
      </c>
      <c r="G104" s="3">
        <v>5757148</v>
      </c>
      <c r="H104" s="3">
        <v>2142.89</v>
      </c>
      <c r="I104" s="3">
        <v>1121933336</v>
      </c>
      <c r="J104" s="21">
        <f t="shared" si="2"/>
        <v>25.707390672927964</v>
      </c>
    </row>
    <row r="105" spans="1:10" ht="15" customHeight="1" x14ac:dyDescent="0.2">
      <c r="A105" t="s">
        <v>9</v>
      </c>
      <c r="B105" s="9" t="s">
        <v>160</v>
      </c>
      <c r="C105" s="7">
        <v>1.9</v>
      </c>
      <c r="D105" s="7">
        <v>1.915</v>
      </c>
      <c r="E105" s="7">
        <v>1.75</v>
      </c>
      <c r="F105" s="7">
        <v>1.8</v>
      </c>
      <c r="G105" s="3">
        <v>9753173</v>
      </c>
      <c r="H105" s="3">
        <v>2019.48</v>
      </c>
      <c r="I105" s="3">
        <v>1121933336</v>
      </c>
      <c r="J105" s="21">
        <f t="shared" si="2"/>
        <v>24.226860320036828</v>
      </c>
    </row>
    <row r="106" spans="1:10" ht="15" customHeight="1" x14ac:dyDescent="0.2">
      <c r="A106" t="s">
        <v>9</v>
      </c>
      <c r="B106" s="9" t="s">
        <v>159</v>
      </c>
      <c r="C106" s="7">
        <v>1.82</v>
      </c>
      <c r="D106" s="7">
        <v>1.875</v>
      </c>
      <c r="E106" s="7">
        <v>1.8</v>
      </c>
      <c r="F106" s="7">
        <v>1.875</v>
      </c>
      <c r="G106" s="3">
        <v>7324115</v>
      </c>
      <c r="H106" s="3">
        <v>2103.63</v>
      </c>
      <c r="I106" s="3">
        <v>1121933336</v>
      </c>
      <c r="J106" s="21">
        <f t="shared" si="2"/>
        <v>25.236312833371695</v>
      </c>
    </row>
    <row r="107" spans="1:10" ht="15" customHeight="1" x14ac:dyDescent="0.2">
      <c r="A107" t="s">
        <v>9</v>
      </c>
      <c r="B107" s="9" t="s">
        <v>158</v>
      </c>
      <c r="C107" s="7">
        <v>1.85</v>
      </c>
      <c r="D107" s="7">
        <v>1.88</v>
      </c>
      <c r="E107" s="7">
        <v>1.8149999999999999</v>
      </c>
      <c r="F107" s="7">
        <v>1.8149999999999999</v>
      </c>
      <c r="G107" s="3">
        <v>3799600</v>
      </c>
      <c r="H107" s="3">
        <v>2036.31</v>
      </c>
      <c r="I107" s="3">
        <v>1121933336</v>
      </c>
      <c r="J107" s="21">
        <f t="shared" si="2"/>
        <v>24.428750822703801</v>
      </c>
    </row>
    <row r="108" spans="1:10" ht="15" customHeight="1" x14ac:dyDescent="0.2">
      <c r="A108" t="s">
        <v>9</v>
      </c>
      <c r="B108" s="9" t="s">
        <v>157</v>
      </c>
      <c r="C108" s="7">
        <v>1.84</v>
      </c>
      <c r="D108" s="7">
        <v>1.867</v>
      </c>
      <c r="E108" s="7">
        <v>1.8169999999999999</v>
      </c>
      <c r="F108" s="7">
        <v>1.82</v>
      </c>
      <c r="G108" s="3">
        <v>2382779</v>
      </c>
      <c r="H108" s="3">
        <v>2041.92</v>
      </c>
      <c r="I108" s="3">
        <v>1121933336</v>
      </c>
      <c r="J108" s="21">
        <f t="shared" si="2"/>
        <v>24.496047656926127</v>
      </c>
    </row>
    <row r="109" spans="1:10" ht="15" customHeight="1" x14ac:dyDescent="0.2">
      <c r="A109" t="s">
        <v>9</v>
      </c>
      <c r="B109" s="9" t="s">
        <v>156</v>
      </c>
      <c r="C109" s="7">
        <v>1.825</v>
      </c>
      <c r="D109" s="7">
        <v>1.835</v>
      </c>
      <c r="E109" s="7">
        <v>1.7749999999999999</v>
      </c>
      <c r="F109" s="7">
        <v>1.83</v>
      </c>
      <c r="G109" s="3">
        <v>3841896</v>
      </c>
      <c r="H109" s="3">
        <v>2053.14</v>
      </c>
      <c r="I109" s="3">
        <v>1121933336</v>
      </c>
      <c r="J109" s="21">
        <f t="shared" si="2"/>
        <v>24.630641325370775</v>
      </c>
    </row>
    <row r="110" spans="1:10" ht="15" customHeight="1" x14ac:dyDescent="0.2">
      <c r="A110" t="s">
        <v>9</v>
      </c>
      <c r="B110" s="9" t="s">
        <v>155</v>
      </c>
      <c r="C110" s="7">
        <v>1.885</v>
      </c>
      <c r="D110" s="7">
        <v>1.96</v>
      </c>
      <c r="E110" s="7">
        <v>1.86</v>
      </c>
      <c r="F110" s="7">
        <v>1.92</v>
      </c>
      <c r="G110" s="3">
        <v>6904716</v>
      </c>
      <c r="H110" s="3">
        <v>2154.11</v>
      </c>
      <c r="I110" s="3">
        <v>1121933336</v>
      </c>
      <c r="J110" s="21">
        <f t="shared" si="2"/>
        <v>25.841984341372616</v>
      </c>
    </row>
    <row r="111" spans="1:10" ht="15" customHeight="1" x14ac:dyDescent="0.2">
      <c r="A111" t="s">
        <v>9</v>
      </c>
      <c r="B111" s="9" t="s">
        <v>154</v>
      </c>
      <c r="C111" s="7">
        <v>1.9650000000000001</v>
      </c>
      <c r="D111" s="7">
        <v>2</v>
      </c>
      <c r="E111" s="7">
        <v>1.96</v>
      </c>
      <c r="F111" s="7">
        <v>1.99</v>
      </c>
      <c r="G111" s="3">
        <v>6235545</v>
      </c>
      <c r="H111" s="3">
        <v>2232.65</v>
      </c>
      <c r="I111" s="3">
        <v>1121933336</v>
      </c>
      <c r="J111" s="21">
        <f t="shared" si="2"/>
        <v>26.784140020485157</v>
      </c>
    </row>
    <row r="112" spans="1:10" ht="15" customHeight="1" x14ac:dyDescent="0.2">
      <c r="A112" t="s">
        <v>9</v>
      </c>
      <c r="B112" s="9" t="s">
        <v>153</v>
      </c>
      <c r="C112" s="7">
        <v>1.87</v>
      </c>
      <c r="D112" s="7">
        <v>1.88</v>
      </c>
      <c r="E112" s="7">
        <v>1.802</v>
      </c>
      <c r="F112" s="7">
        <v>1.8149999999999999</v>
      </c>
      <c r="G112" s="3">
        <v>8483857</v>
      </c>
      <c r="H112" s="3">
        <v>2036.31</v>
      </c>
      <c r="I112" s="3">
        <v>1121933336</v>
      </c>
      <c r="J112" s="21">
        <f t="shared" si="2"/>
        <v>24.428750822703801</v>
      </c>
    </row>
    <row r="113" spans="1:10" ht="15" customHeight="1" x14ac:dyDescent="0.2">
      <c r="A113" t="s">
        <v>9</v>
      </c>
      <c r="B113" s="9" t="s">
        <v>152</v>
      </c>
      <c r="C113" s="7">
        <v>1.85</v>
      </c>
      <c r="D113" s="7">
        <v>1.85</v>
      </c>
      <c r="E113" s="7">
        <v>1.78</v>
      </c>
      <c r="F113" s="7">
        <v>1.7949999999999999</v>
      </c>
      <c r="G113" s="3">
        <v>4729411</v>
      </c>
      <c r="H113" s="3">
        <v>2013.87</v>
      </c>
      <c r="I113" s="3">
        <v>1121933336</v>
      </c>
      <c r="J113" s="21">
        <f t="shared" si="2"/>
        <v>24.159563485814502</v>
      </c>
    </row>
    <row r="114" spans="1:10" ht="15" customHeight="1" x14ac:dyDescent="0.2">
      <c r="A114" t="s">
        <v>9</v>
      </c>
      <c r="B114" s="9" t="s">
        <v>151</v>
      </c>
      <c r="C114" s="7">
        <v>1.825</v>
      </c>
      <c r="D114" s="7">
        <v>1.835</v>
      </c>
      <c r="E114" s="7">
        <v>1.77</v>
      </c>
      <c r="F114" s="7">
        <v>1.78</v>
      </c>
      <c r="G114" s="3">
        <v>2750460</v>
      </c>
      <c r="H114" s="3">
        <v>1997.04</v>
      </c>
      <c r="I114" s="3">
        <v>1121933336</v>
      </c>
      <c r="J114" s="21">
        <f t="shared" si="2"/>
        <v>23.957672983147528</v>
      </c>
    </row>
    <row r="115" spans="1:10" ht="15" customHeight="1" x14ac:dyDescent="0.2">
      <c r="A115" t="s">
        <v>9</v>
      </c>
      <c r="B115" s="9" t="s">
        <v>150</v>
      </c>
      <c r="C115" s="7">
        <v>1.7649999999999999</v>
      </c>
      <c r="D115" s="7">
        <v>1.77</v>
      </c>
      <c r="E115" s="7">
        <v>1.7150000000000001</v>
      </c>
      <c r="F115" s="7">
        <v>1.7250000000000001</v>
      </c>
      <c r="G115" s="3">
        <v>3565483</v>
      </c>
      <c r="H115" s="3">
        <v>1935.34</v>
      </c>
      <c r="I115" s="3">
        <v>1121933336</v>
      </c>
      <c r="J115" s="21">
        <f t="shared" si="2"/>
        <v>23.21740780670196</v>
      </c>
    </row>
    <row r="116" spans="1:10" ht="15" customHeight="1" x14ac:dyDescent="0.2">
      <c r="A116" t="s">
        <v>9</v>
      </c>
      <c r="B116" s="9" t="s">
        <v>149</v>
      </c>
      <c r="C116" s="7">
        <v>1.74</v>
      </c>
      <c r="D116" s="7">
        <v>1.778</v>
      </c>
      <c r="E116" s="7">
        <v>1.73</v>
      </c>
      <c r="F116" s="7">
        <v>1.7649999999999999</v>
      </c>
      <c r="G116" s="3">
        <v>3862582</v>
      </c>
      <c r="H116" s="3">
        <v>1980.21</v>
      </c>
      <c r="I116" s="3">
        <v>1121933336</v>
      </c>
      <c r="J116" s="21">
        <f t="shared" si="2"/>
        <v>23.755782480480555</v>
      </c>
    </row>
    <row r="117" spans="1:10" ht="15" customHeight="1" x14ac:dyDescent="0.2">
      <c r="A117" t="s">
        <v>9</v>
      </c>
      <c r="B117" s="9" t="s">
        <v>148</v>
      </c>
      <c r="C117" s="7">
        <v>1.78</v>
      </c>
      <c r="D117" s="7">
        <v>1.8</v>
      </c>
      <c r="E117" s="7">
        <v>1.75</v>
      </c>
      <c r="F117" s="7">
        <v>1.7649999999999999</v>
      </c>
      <c r="G117" s="3">
        <v>2538987</v>
      </c>
      <c r="H117" s="3">
        <v>1980.21</v>
      </c>
      <c r="I117" s="3">
        <v>1121933336</v>
      </c>
      <c r="J117" s="21">
        <f t="shared" si="2"/>
        <v>23.755782480480555</v>
      </c>
    </row>
    <row r="118" spans="1:10" ht="15" customHeight="1" x14ac:dyDescent="0.2">
      <c r="A118" t="s">
        <v>9</v>
      </c>
      <c r="B118" s="9" t="s">
        <v>147</v>
      </c>
      <c r="C118" s="7">
        <v>1.8049999999999999</v>
      </c>
      <c r="D118" s="7">
        <v>1.825</v>
      </c>
      <c r="E118" s="7">
        <v>1.78</v>
      </c>
      <c r="F118" s="7">
        <v>1.81</v>
      </c>
      <c r="G118" s="3">
        <v>3256227</v>
      </c>
      <c r="H118" s="3">
        <v>2030.7</v>
      </c>
      <c r="I118" s="3">
        <v>1121933336</v>
      </c>
      <c r="J118" s="21">
        <f t="shared" si="2"/>
        <v>24.361453988481475</v>
      </c>
    </row>
    <row r="119" spans="1:10" ht="15" customHeight="1" x14ac:dyDescent="0.2">
      <c r="A119" t="s">
        <v>9</v>
      </c>
      <c r="B119" s="9" t="s">
        <v>146</v>
      </c>
      <c r="C119" s="7">
        <v>1.81</v>
      </c>
      <c r="D119" s="7">
        <v>1.82</v>
      </c>
      <c r="E119" s="7">
        <v>1.7949999999999999</v>
      </c>
      <c r="F119" s="7">
        <v>1.81</v>
      </c>
      <c r="G119" s="3">
        <v>3285427</v>
      </c>
      <c r="H119" s="3">
        <v>2030.7</v>
      </c>
      <c r="I119" s="3">
        <v>1121933336</v>
      </c>
      <c r="J119" s="21">
        <f t="shared" si="2"/>
        <v>24.361453988481475</v>
      </c>
    </row>
    <row r="120" spans="1:10" ht="15" customHeight="1" x14ac:dyDescent="0.2">
      <c r="A120" t="s">
        <v>9</v>
      </c>
      <c r="B120" s="9" t="s">
        <v>145</v>
      </c>
      <c r="C120" s="7">
        <v>1.875</v>
      </c>
      <c r="D120" s="7">
        <v>1.89</v>
      </c>
      <c r="E120" s="7">
        <v>1.843</v>
      </c>
      <c r="F120" s="7">
        <v>1.89</v>
      </c>
      <c r="G120" s="3">
        <v>13042771</v>
      </c>
      <c r="H120" s="3">
        <v>2120.4499999999998</v>
      </c>
      <c r="I120" s="3">
        <v>1121933336</v>
      </c>
      <c r="J120" s="21">
        <f t="shared" si="2"/>
        <v>25.438203336038665</v>
      </c>
    </row>
    <row r="121" spans="1:10" ht="15" customHeight="1" x14ac:dyDescent="0.2">
      <c r="A121" t="s">
        <v>9</v>
      </c>
      <c r="B121" s="9" t="s">
        <v>144</v>
      </c>
      <c r="C121" s="7">
        <v>1.845</v>
      </c>
      <c r="D121" s="7">
        <v>1.855</v>
      </c>
      <c r="E121" s="7">
        <v>1.82</v>
      </c>
      <c r="F121" s="7">
        <v>1.83</v>
      </c>
      <c r="G121" s="3">
        <v>2328320</v>
      </c>
      <c r="H121" s="3">
        <v>2053.14</v>
      </c>
      <c r="I121" s="3">
        <v>1121933336</v>
      </c>
      <c r="J121" s="21">
        <f t="shared" si="2"/>
        <v>24.630641325370775</v>
      </c>
    </row>
    <row r="122" spans="1:10" ht="15" customHeight="1" x14ac:dyDescent="0.2">
      <c r="A122" t="s">
        <v>9</v>
      </c>
      <c r="B122" s="9" t="s">
        <v>143</v>
      </c>
      <c r="C122" s="7">
        <v>1.855</v>
      </c>
      <c r="D122" s="7">
        <v>1.855</v>
      </c>
      <c r="E122" s="7">
        <v>1.8049999999999999</v>
      </c>
      <c r="F122" s="7">
        <v>1.83</v>
      </c>
      <c r="G122" s="3">
        <v>3358722</v>
      </c>
      <c r="H122" s="3">
        <v>2053.14</v>
      </c>
      <c r="I122" s="3">
        <v>1121933336</v>
      </c>
      <c r="J122" s="21">
        <f t="shared" si="2"/>
        <v>24.630641325370775</v>
      </c>
    </row>
    <row r="123" spans="1:10" ht="15" customHeight="1" x14ac:dyDescent="0.2">
      <c r="A123" t="s">
        <v>9</v>
      </c>
      <c r="B123" s="9" t="s">
        <v>142</v>
      </c>
      <c r="C123" s="7">
        <v>1.8049999999999999</v>
      </c>
      <c r="D123" s="7">
        <v>1.8120000000000001</v>
      </c>
      <c r="E123" s="7">
        <v>1.742</v>
      </c>
      <c r="F123" s="7">
        <v>1.75</v>
      </c>
      <c r="G123" s="3">
        <v>3100073</v>
      </c>
      <c r="H123" s="3">
        <v>1963.38</v>
      </c>
      <c r="I123" s="3">
        <v>1121933336</v>
      </c>
      <c r="J123" s="21">
        <f t="shared" si="2"/>
        <v>23.553891977813581</v>
      </c>
    </row>
    <row r="124" spans="1:10" ht="15" customHeight="1" x14ac:dyDescent="0.2">
      <c r="A124" t="s">
        <v>9</v>
      </c>
      <c r="B124" s="9" t="s">
        <v>141</v>
      </c>
      <c r="C124" s="7">
        <v>1.7250000000000001</v>
      </c>
      <c r="D124" s="7">
        <v>1.73</v>
      </c>
      <c r="E124" s="7">
        <v>1.68</v>
      </c>
      <c r="F124" s="7">
        <v>1.73</v>
      </c>
      <c r="G124" s="3">
        <v>2773540</v>
      </c>
      <c r="H124" s="3">
        <v>1940.94</v>
      </c>
      <c r="I124" s="3">
        <v>1121933336</v>
      </c>
      <c r="J124" s="21">
        <f t="shared" si="2"/>
        <v>23.284704640924282</v>
      </c>
    </row>
    <row r="125" spans="1:10" ht="15" customHeight="1" x14ac:dyDescent="0.2">
      <c r="A125" t="s">
        <v>9</v>
      </c>
      <c r="B125" s="9" t="s">
        <v>140</v>
      </c>
      <c r="C125" s="7">
        <v>1.74</v>
      </c>
      <c r="D125" s="7">
        <v>1.7749999999999999</v>
      </c>
      <c r="E125" s="7">
        <v>1.722</v>
      </c>
      <c r="F125" s="7">
        <v>1.7549999999999999</v>
      </c>
      <c r="G125" s="3">
        <v>3494963</v>
      </c>
      <c r="H125" s="3">
        <v>1968.99</v>
      </c>
      <c r="I125" s="3">
        <v>1121933336</v>
      </c>
      <c r="J125" s="21">
        <f t="shared" si="2"/>
        <v>23.621188812035903</v>
      </c>
    </row>
    <row r="126" spans="1:10" ht="15" customHeight="1" x14ac:dyDescent="0.2">
      <c r="A126" t="s">
        <v>9</v>
      </c>
      <c r="B126" s="9" t="s">
        <v>139</v>
      </c>
      <c r="C126" s="7">
        <v>1.74</v>
      </c>
      <c r="D126" s="7">
        <v>1.7749999999999999</v>
      </c>
      <c r="E126" s="7">
        <v>1.72</v>
      </c>
      <c r="F126" s="7">
        <v>1.7649999999999999</v>
      </c>
      <c r="G126" s="3">
        <v>1655010</v>
      </c>
      <c r="H126" s="3">
        <v>1980.21</v>
      </c>
      <c r="I126" s="3">
        <v>1121933336</v>
      </c>
      <c r="J126" s="21">
        <f t="shared" si="2"/>
        <v>23.755782480480555</v>
      </c>
    </row>
    <row r="127" spans="1:10" ht="15" customHeight="1" x14ac:dyDescent="0.2">
      <c r="A127" t="s">
        <v>9</v>
      </c>
      <c r="B127" s="9" t="s">
        <v>138</v>
      </c>
      <c r="C127" s="7">
        <v>1.7549999999999999</v>
      </c>
      <c r="D127" s="7">
        <v>1.7949999999999999</v>
      </c>
      <c r="E127" s="7">
        <v>1.75</v>
      </c>
      <c r="F127" s="7">
        <v>1.76</v>
      </c>
      <c r="G127" s="3">
        <v>1892724</v>
      </c>
      <c r="H127" s="3">
        <v>1974.6</v>
      </c>
      <c r="I127" s="3">
        <v>1121933336</v>
      </c>
      <c r="J127" s="21">
        <f t="shared" si="2"/>
        <v>23.688485646258229</v>
      </c>
    </row>
    <row r="128" spans="1:10" ht="15" customHeight="1" x14ac:dyDescent="0.2">
      <c r="A128" t="s">
        <v>9</v>
      </c>
      <c r="B128" s="9" t="s">
        <v>137</v>
      </c>
      <c r="C128" s="7">
        <v>1.77</v>
      </c>
      <c r="D128" s="7">
        <v>1.8049999999999999</v>
      </c>
      <c r="E128" s="7">
        <v>1.7549999999999999</v>
      </c>
      <c r="F128" s="7">
        <v>1.7949999999999999</v>
      </c>
      <c r="G128" s="3">
        <v>1681875</v>
      </c>
      <c r="H128" s="3">
        <v>2013.87</v>
      </c>
      <c r="I128" s="3">
        <v>1121933336</v>
      </c>
      <c r="J128" s="21">
        <f t="shared" si="2"/>
        <v>24.159563485814502</v>
      </c>
    </row>
    <row r="129" spans="1:10" ht="15" customHeight="1" x14ac:dyDescent="0.2">
      <c r="A129" t="s">
        <v>9</v>
      </c>
      <c r="B129" s="9" t="s">
        <v>136</v>
      </c>
      <c r="C129" s="7">
        <v>1.84</v>
      </c>
      <c r="D129" s="7">
        <v>1.875</v>
      </c>
      <c r="E129" s="7">
        <v>1.827</v>
      </c>
      <c r="F129" s="7">
        <v>1.865</v>
      </c>
      <c r="G129" s="3">
        <v>2501377</v>
      </c>
      <c r="H129" s="3">
        <v>2092.41</v>
      </c>
      <c r="I129" s="3">
        <v>1121933336</v>
      </c>
      <c r="J129" s="21">
        <f t="shared" si="2"/>
        <v>25.101719164927044</v>
      </c>
    </row>
    <row r="130" spans="1:10" ht="15" customHeight="1" x14ac:dyDescent="0.2">
      <c r="A130" t="s">
        <v>9</v>
      </c>
      <c r="B130" s="9" t="s">
        <v>135</v>
      </c>
      <c r="C130" s="7">
        <v>1.865</v>
      </c>
      <c r="D130" s="7">
        <v>1.9</v>
      </c>
      <c r="E130" s="7">
        <v>1.845</v>
      </c>
      <c r="F130" s="7">
        <v>1.895</v>
      </c>
      <c r="G130" s="3">
        <v>2682541</v>
      </c>
      <c r="H130" s="3">
        <v>2126.06</v>
      </c>
      <c r="I130" s="3">
        <v>1121933336</v>
      </c>
      <c r="J130" s="21">
        <f t="shared" si="2"/>
        <v>25.505500170260994</v>
      </c>
    </row>
    <row r="131" spans="1:10" ht="15" customHeight="1" x14ac:dyDescent="0.2">
      <c r="A131" t="s">
        <v>9</v>
      </c>
      <c r="B131" s="9" t="s">
        <v>134</v>
      </c>
      <c r="C131" s="7">
        <v>1.925</v>
      </c>
      <c r="D131" s="7">
        <v>1.93</v>
      </c>
      <c r="E131" s="7">
        <v>1.875</v>
      </c>
      <c r="F131" s="7">
        <v>1.88</v>
      </c>
      <c r="G131" s="3">
        <v>2879381</v>
      </c>
      <c r="H131" s="3">
        <v>2109.23</v>
      </c>
      <c r="I131" s="3">
        <v>1121933336</v>
      </c>
      <c r="J131" s="21">
        <f t="shared" si="2"/>
        <v>25.303609667594017</v>
      </c>
    </row>
    <row r="132" spans="1:10" ht="15" customHeight="1" x14ac:dyDescent="0.2">
      <c r="A132" t="s">
        <v>9</v>
      </c>
      <c r="B132" s="9" t="s">
        <v>133</v>
      </c>
      <c r="C132" s="7">
        <v>1.87</v>
      </c>
      <c r="D132" s="7">
        <v>1.895</v>
      </c>
      <c r="E132" s="7">
        <v>1.855</v>
      </c>
      <c r="F132" s="7">
        <v>1.895</v>
      </c>
      <c r="G132" s="3">
        <v>2552478</v>
      </c>
      <c r="H132" s="3">
        <v>2126.06</v>
      </c>
      <c r="I132" s="3">
        <v>1121933336</v>
      </c>
      <c r="J132" s="21">
        <f t="shared" si="2"/>
        <v>25.505500170260994</v>
      </c>
    </row>
    <row r="133" spans="1:10" ht="15" customHeight="1" x14ac:dyDescent="0.2">
      <c r="A133" t="s">
        <v>9</v>
      </c>
      <c r="B133" s="9" t="s">
        <v>132</v>
      </c>
      <c r="C133" s="7">
        <v>1.885</v>
      </c>
      <c r="D133" s="7">
        <v>1.903</v>
      </c>
      <c r="E133" s="7">
        <v>1.857</v>
      </c>
      <c r="F133" s="7">
        <v>1.88</v>
      </c>
      <c r="G133" s="3">
        <v>3093906</v>
      </c>
      <c r="H133" s="3">
        <v>2109.23</v>
      </c>
      <c r="I133" s="3">
        <v>1121933336</v>
      </c>
      <c r="J133" s="21">
        <f t="shared" si="2"/>
        <v>25.303609667594017</v>
      </c>
    </row>
    <row r="134" spans="1:10" ht="15" customHeight="1" x14ac:dyDescent="0.2">
      <c r="A134" t="s">
        <v>9</v>
      </c>
      <c r="B134" s="9" t="s">
        <v>131</v>
      </c>
      <c r="C134" s="7">
        <v>1.91</v>
      </c>
      <c r="D134" s="7">
        <v>1.97</v>
      </c>
      <c r="E134" s="7">
        <v>1.89</v>
      </c>
      <c r="F134" s="7">
        <v>1.9550000000000001</v>
      </c>
      <c r="G134" s="3">
        <v>5789308</v>
      </c>
      <c r="H134" s="3">
        <v>2193.38</v>
      </c>
      <c r="I134" s="3">
        <v>1121933336</v>
      </c>
      <c r="J134" s="21">
        <f t="shared" si="2"/>
        <v>26.313062180928888</v>
      </c>
    </row>
    <row r="135" spans="1:10" ht="15" customHeight="1" x14ac:dyDescent="0.2">
      <c r="A135" t="s">
        <v>9</v>
      </c>
      <c r="B135" s="9" t="s">
        <v>130</v>
      </c>
      <c r="C135" s="7">
        <v>1.99</v>
      </c>
      <c r="D135" s="7">
        <v>2.0699999999999998</v>
      </c>
      <c r="E135" s="7">
        <v>1.96</v>
      </c>
      <c r="F135" s="7">
        <v>2.0699999999999998</v>
      </c>
      <c r="G135" s="3">
        <v>9149174</v>
      </c>
      <c r="H135" s="3">
        <v>2322.4</v>
      </c>
      <c r="I135" s="3">
        <v>1121933336</v>
      </c>
      <c r="J135" s="21">
        <f t="shared" ref="J135:J198" si="3">F135/0.0742977</f>
        <v>27.860889368042347</v>
      </c>
    </row>
    <row r="136" spans="1:10" ht="15" customHeight="1" x14ac:dyDescent="0.2">
      <c r="A136" t="s">
        <v>9</v>
      </c>
      <c r="B136" s="9" t="s">
        <v>129</v>
      </c>
      <c r="C136" s="7">
        <v>2.09</v>
      </c>
      <c r="D136" s="7">
        <v>2.13</v>
      </c>
      <c r="E136" s="7">
        <v>2.0449999999999999</v>
      </c>
      <c r="F136" s="7">
        <v>2.12</v>
      </c>
      <c r="G136" s="3">
        <v>4126554</v>
      </c>
      <c r="H136" s="3">
        <v>2378.5</v>
      </c>
      <c r="I136" s="3">
        <v>1121933336</v>
      </c>
      <c r="J136" s="21">
        <f t="shared" si="3"/>
        <v>28.533857710265597</v>
      </c>
    </row>
    <row r="137" spans="1:10" ht="15" customHeight="1" x14ac:dyDescent="0.2">
      <c r="A137" t="s">
        <v>9</v>
      </c>
      <c r="B137" s="9" t="s">
        <v>128</v>
      </c>
      <c r="C137" s="7">
        <v>2.15</v>
      </c>
      <c r="D137" s="7">
        <v>2.1749999999999998</v>
      </c>
      <c r="E137" s="7">
        <v>2.13</v>
      </c>
      <c r="F137" s="7">
        <v>2.15</v>
      </c>
      <c r="G137" s="3">
        <v>7133509</v>
      </c>
      <c r="H137" s="3">
        <v>2412.29</v>
      </c>
      <c r="I137" s="3">
        <v>1121996411</v>
      </c>
      <c r="J137" s="21">
        <f t="shared" si="3"/>
        <v>28.93763871559954</v>
      </c>
    </row>
    <row r="138" spans="1:10" ht="15" customHeight="1" x14ac:dyDescent="0.2">
      <c r="A138" t="s">
        <v>9</v>
      </c>
      <c r="B138" s="9" t="s">
        <v>127</v>
      </c>
      <c r="C138" s="7">
        <v>2.19</v>
      </c>
      <c r="D138" s="7">
        <v>2.2400000000000002</v>
      </c>
      <c r="E138" s="7">
        <v>2.15</v>
      </c>
      <c r="F138" s="7">
        <v>2.16</v>
      </c>
      <c r="G138" s="3">
        <v>5296907</v>
      </c>
      <c r="H138" s="3">
        <v>2423.5100000000002</v>
      </c>
      <c r="I138" s="3">
        <v>1121996411</v>
      </c>
      <c r="J138" s="21">
        <f t="shared" si="3"/>
        <v>29.072232384044195</v>
      </c>
    </row>
    <row r="139" spans="1:10" ht="15" customHeight="1" x14ac:dyDescent="0.2">
      <c r="A139" t="s">
        <v>9</v>
      </c>
      <c r="B139" s="9" t="s">
        <v>126</v>
      </c>
      <c r="C139" s="7">
        <v>2.14</v>
      </c>
      <c r="D139" s="7">
        <v>2.17</v>
      </c>
      <c r="E139" s="7">
        <v>2.09</v>
      </c>
      <c r="F139" s="7">
        <v>2.15</v>
      </c>
      <c r="G139" s="3">
        <v>5001323</v>
      </c>
      <c r="H139" s="3">
        <v>2412.29</v>
      </c>
      <c r="I139" s="3">
        <v>1121996411</v>
      </c>
      <c r="J139" s="21">
        <f t="shared" si="3"/>
        <v>28.93763871559954</v>
      </c>
    </row>
    <row r="140" spans="1:10" ht="15" customHeight="1" x14ac:dyDescent="0.2">
      <c r="A140" t="s">
        <v>9</v>
      </c>
      <c r="B140" s="9" t="s">
        <v>125</v>
      </c>
      <c r="C140" s="7">
        <v>2.09</v>
      </c>
      <c r="D140" s="7">
        <v>2.16</v>
      </c>
      <c r="E140" s="7">
        <v>2.0499999999999998</v>
      </c>
      <c r="F140" s="7">
        <v>2.15</v>
      </c>
      <c r="G140" s="3">
        <v>6049375</v>
      </c>
      <c r="H140" s="3">
        <v>2412.29</v>
      </c>
      <c r="I140" s="3">
        <v>1121996411</v>
      </c>
      <c r="J140" s="21">
        <f t="shared" si="3"/>
        <v>28.93763871559954</v>
      </c>
    </row>
    <row r="141" spans="1:10" ht="15" customHeight="1" x14ac:dyDescent="0.2">
      <c r="A141" t="s">
        <v>9</v>
      </c>
      <c r="B141" s="9" t="s">
        <v>124</v>
      </c>
      <c r="C141" s="7">
        <v>2.15</v>
      </c>
      <c r="D141" s="7">
        <v>2.19</v>
      </c>
      <c r="E141" s="7">
        <v>2.15</v>
      </c>
      <c r="F141" s="7">
        <v>2.17</v>
      </c>
      <c r="G141" s="3">
        <v>3742862</v>
      </c>
      <c r="H141" s="3">
        <v>2434.73</v>
      </c>
      <c r="I141" s="3">
        <v>1121996411</v>
      </c>
      <c r="J141" s="21">
        <f t="shared" si="3"/>
        <v>29.206826052488839</v>
      </c>
    </row>
    <row r="142" spans="1:10" ht="15" customHeight="1" x14ac:dyDescent="0.2">
      <c r="A142" t="s">
        <v>9</v>
      </c>
      <c r="B142" s="9" t="s">
        <v>123</v>
      </c>
      <c r="C142" s="7">
        <v>2.19</v>
      </c>
      <c r="D142" s="7">
        <v>2.2050000000000001</v>
      </c>
      <c r="E142" s="7">
        <v>2.12</v>
      </c>
      <c r="F142" s="7">
        <v>2.12</v>
      </c>
      <c r="G142" s="3">
        <v>6346587</v>
      </c>
      <c r="H142" s="3">
        <v>2378.63</v>
      </c>
      <c r="I142" s="3">
        <v>1121996411</v>
      </c>
      <c r="J142" s="21">
        <f t="shared" si="3"/>
        <v>28.533857710265597</v>
      </c>
    </row>
    <row r="143" spans="1:10" ht="15" customHeight="1" x14ac:dyDescent="0.2">
      <c r="A143" t="s">
        <v>9</v>
      </c>
      <c r="B143" s="9" t="s">
        <v>122</v>
      </c>
      <c r="C143" s="7">
        <v>2.13</v>
      </c>
      <c r="D143" s="7">
        <v>2.1949999999999998</v>
      </c>
      <c r="E143" s="7">
        <v>2.1</v>
      </c>
      <c r="F143" s="7">
        <v>2.17</v>
      </c>
      <c r="G143" s="3">
        <v>5016393</v>
      </c>
      <c r="H143" s="3">
        <v>2434.73</v>
      </c>
      <c r="I143" s="3">
        <v>1121996411</v>
      </c>
      <c r="J143" s="21">
        <f t="shared" si="3"/>
        <v>29.206826052488839</v>
      </c>
    </row>
    <row r="144" spans="1:10" ht="15" customHeight="1" x14ac:dyDescent="0.2">
      <c r="A144" t="s">
        <v>9</v>
      </c>
      <c r="B144" s="9" t="s">
        <v>121</v>
      </c>
      <c r="C144" s="7">
        <v>2.11</v>
      </c>
      <c r="D144" s="7">
        <v>2.17</v>
      </c>
      <c r="E144" s="7">
        <v>2.09</v>
      </c>
      <c r="F144" s="7">
        <v>2.12</v>
      </c>
      <c r="G144" s="3">
        <v>5046672</v>
      </c>
      <c r="H144" s="3">
        <v>2378.63</v>
      </c>
      <c r="I144" s="3">
        <v>1121996411</v>
      </c>
      <c r="J144" s="21">
        <f t="shared" si="3"/>
        <v>28.533857710265597</v>
      </c>
    </row>
    <row r="145" spans="1:10" ht="15" customHeight="1" x14ac:dyDescent="0.2">
      <c r="A145" t="s">
        <v>9</v>
      </c>
      <c r="B145" s="9" t="s">
        <v>120</v>
      </c>
      <c r="C145" s="7">
        <v>2.12</v>
      </c>
      <c r="D145" s="7">
        <v>2.14</v>
      </c>
      <c r="E145" s="7">
        <v>2.0299999999999998</v>
      </c>
      <c r="F145" s="7">
        <v>2.0699999999999998</v>
      </c>
      <c r="G145" s="3">
        <v>4949173</v>
      </c>
      <c r="H145" s="3">
        <v>2322.5300000000002</v>
      </c>
      <c r="I145" s="3">
        <v>1121996411</v>
      </c>
      <c r="J145" s="21">
        <f t="shared" si="3"/>
        <v>27.860889368042347</v>
      </c>
    </row>
    <row r="146" spans="1:10" ht="15" customHeight="1" x14ac:dyDescent="0.2">
      <c r="A146" t="s">
        <v>9</v>
      </c>
      <c r="B146" s="9" t="s">
        <v>119</v>
      </c>
      <c r="C146" s="7">
        <v>2.11</v>
      </c>
      <c r="D146" s="7">
        <v>2.11</v>
      </c>
      <c r="E146" s="7">
        <v>2.0499999999999998</v>
      </c>
      <c r="F146" s="7">
        <v>2.06</v>
      </c>
      <c r="G146" s="3">
        <v>2166266</v>
      </c>
      <c r="H146" s="3">
        <v>2311.31</v>
      </c>
      <c r="I146" s="3">
        <v>1121996411</v>
      </c>
      <c r="J146" s="21">
        <f t="shared" si="3"/>
        <v>27.726295699597703</v>
      </c>
    </row>
    <row r="147" spans="1:10" ht="15" customHeight="1" x14ac:dyDescent="0.2">
      <c r="A147" t="s">
        <v>9</v>
      </c>
      <c r="B147" s="9" t="s">
        <v>118</v>
      </c>
      <c r="C147" s="7">
        <v>2.0299999999999998</v>
      </c>
      <c r="D147" s="7">
        <v>2.0499999999999998</v>
      </c>
      <c r="E147" s="7">
        <v>2</v>
      </c>
      <c r="F147" s="7">
        <v>2.02</v>
      </c>
      <c r="G147" s="3">
        <v>2073058</v>
      </c>
      <c r="H147" s="3">
        <v>2266.4299999999998</v>
      </c>
      <c r="I147" s="3">
        <v>1121996411</v>
      </c>
      <c r="J147" s="21">
        <f t="shared" si="3"/>
        <v>27.187921025819104</v>
      </c>
    </row>
    <row r="148" spans="1:10" ht="15" customHeight="1" x14ac:dyDescent="0.2">
      <c r="A148" t="s">
        <v>9</v>
      </c>
      <c r="B148" s="9" t="s">
        <v>117</v>
      </c>
      <c r="C148" s="7">
        <v>2.06</v>
      </c>
      <c r="D148" s="7">
        <v>2.11</v>
      </c>
      <c r="E148" s="7">
        <v>2.0299999999999998</v>
      </c>
      <c r="F148" s="7">
        <v>2.09</v>
      </c>
      <c r="G148" s="3">
        <v>3143619</v>
      </c>
      <c r="H148" s="3">
        <v>2344.9699999999998</v>
      </c>
      <c r="I148" s="3">
        <v>1121996411</v>
      </c>
      <c r="J148" s="21">
        <f t="shared" si="3"/>
        <v>28.130076704931646</v>
      </c>
    </row>
    <row r="149" spans="1:10" ht="15" customHeight="1" x14ac:dyDescent="0.2">
      <c r="A149" t="s">
        <v>9</v>
      </c>
      <c r="B149" s="9" t="s">
        <v>116</v>
      </c>
      <c r="C149" s="7">
        <v>2.12</v>
      </c>
      <c r="D149" s="7">
        <v>2.15</v>
      </c>
      <c r="E149" s="7">
        <v>2.08</v>
      </c>
      <c r="F149" s="7">
        <v>2.11</v>
      </c>
      <c r="G149" s="3">
        <v>2917871</v>
      </c>
      <c r="H149" s="3">
        <v>2367.41</v>
      </c>
      <c r="I149" s="3">
        <v>1121996411</v>
      </c>
      <c r="J149" s="21">
        <f t="shared" si="3"/>
        <v>28.399264041820945</v>
      </c>
    </row>
    <row r="150" spans="1:10" ht="15" customHeight="1" x14ac:dyDescent="0.2">
      <c r="A150" t="s">
        <v>9</v>
      </c>
      <c r="B150" s="9" t="s">
        <v>115</v>
      </c>
      <c r="C150" s="7">
        <v>2.0499999999999998</v>
      </c>
      <c r="D150" s="7">
        <v>2.15</v>
      </c>
      <c r="E150" s="7">
        <v>2.0299999999999998</v>
      </c>
      <c r="F150" s="7">
        <v>2.12</v>
      </c>
      <c r="G150" s="3">
        <v>4791445</v>
      </c>
      <c r="H150" s="3">
        <v>2378.63</v>
      </c>
      <c r="I150" s="3">
        <v>1121996411</v>
      </c>
      <c r="J150" s="21">
        <f t="shared" si="3"/>
        <v>28.533857710265597</v>
      </c>
    </row>
    <row r="151" spans="1:10" ht="15" customHeight="1" x14ac:dyDescent="0.2">
      <c r="A151" t="s">
        <v>9</v>
      </c>
      <c r="B151" s="9" t="s">
        <v>114</v>
      </c>
      <c r="C151" s="7">
        <v>2.0699999999999998</v>
      </c>
      <c r="D151" s="7">
        <v>2.11</v>
      </c>
      <c r="E151" s="7">
        <v>2.04</v>
      </c>
      <c r="F151" s="7">
        <v>2.08</v>
      </c>
      <c r="G151" s="3">
        <v>2720187</v>
      </c>
      <c r="H151" s="3">
        <v>2333.75</v>
      </c>
      <c r="I151" s="3">
        <v>1121996411</v>
      </c>
      <c r="J151" s="21">
        <f t="shared" si="3"/>
        <v>27.995483036487002</v>
      </c>
    </row>
    <row r="152" spans="1:10" ht="15" customHeight="1" x14ac:dyDescent="0.2">
      <c r="A152" t="s">
        <v>9</v>
      </c>
      <c r="B152" s="9" t="s">
        <v>113</v>
      </c>
      <c r="C152" s="7">
        <v>2.0299999999999998</v>
      </c>
      <c r="D152" s="7">
        <v>2.0499999999999998</v>
      </c>
      <c r="E152" s="7">
        <v>2</v>
      </c>
      <c r="F152" s="7">
        <v>2.02</v>
      </c>
      <c r="G152" s="3">
        <v>2921387</v>
      </c>
      <c r="H152" s="3">
        <v>2266.4299999999998</v>
      </c>
      <c r="I152" s="3">
        <v>1121996411</v>
      </c>
      <c r="J152" s="21">
        <f t="shared" si="3"/>
        <v>27.187921025819104</v>
      </c>
    </row>
    <row r="153" spans="1:10" ht="15" customHeight="1" x14ac:dyDescent="0.2">
      <c r="A153" t="s">
        <v>9</v>
      </c>
      <c r="B153" s="9" t="s">
        <v>112</v>
      </c>
      <c r="C153" s="7">
        <v>2.02</v>
      </c>
      <c r="D153" s="7">
        <v>2.04</v>
      </c>
      <c r="E153" s="7">
        <v>1.9750000000000001</v>
      </c>
      <c r="F153" s="7">
        <v>2.0299999999999998</v>
      </c>
      <c r="G153" s="3">
        <v>2981097</v>
      </c>
      <c r="H153" s="3">
        <v>2277.65</v>
      </c>
      <c r="I153" s="3">
        <v>1121996411</v>
      </c>
      <c r="J153" s="21">
        <f t="shared" si="3"/>
        <v>27.322514694263752</v>
      </c>
    </row>
    <row r="154" spans="1:10" ht="15" customHeight="1" x14ac:dyDescent="0.2">
      <c r="A154" t="s">
        <v>9</v>
      </c>
      <c r="B154" s="9" t="s">
        <v>111</v>
      </c>
      <c r="C154" s="7">
        <v>2.0099999999999998</v>
      </c>
      <c r="D154" s="7">
        <v>2.0099999999999998</v>
      </c>
      <c r="E154" s="7">
        <v>1.9650000000000001</v>
      </c>
      <c r="F154" s="7">
        <v>1.9850000000000001</v>
      </c>
      <c r="G154" s="3">
        <v>1753890</v>
      </c>
      <c r="H154" s="3">
        <v>2227.16</v>
      </c>
      <c r="I154" s="3">
        <v>1121996411</v>
      </c>
      <c r="J154" s="21">
        <f t="shared" si="3"/>
        <v>26.716843186262835</v>
      </c>
    </row>
    <row r="155" spans="1:10" ht="15" customHeight="1" x14ac:dyDescent="0.2">
      <c r="A155" t="s">
        <v>9</v>
      </c>
      <c r="B155" s="9" t="s">
        <v>110</v>
      </c>
      <c r="C155" s="7">
        <v>2.06</v>
      </c>
      <c r="D155" s="7">
        <v>2.085</v>
      </c>
      <c r="E155" s="7">
        <v>2.04</v>
      </c>
      <c r="F155" s="7">
        <v>2.06</v>
      </c>
      <c r="G155" s="3">
        <v>2330263</v>
      </c>
      <c r="H155" s="3">
        <v>2311.31</v>
      </c>
      <c r="I155" s="3">
        <v>1121996411</v>
      </c>
      <c r="J155" s="21">
        <f t="shared" si="3"/>
        <v>27.726295699597703</v>
      </c>
    </row>
    <row r="156" spans="1:10" ht="15" customHeight="1" x14ac:dyDescent="0.2">
      <c r="A156" t="s">
        <v>9</v>
      </c>
      <c r="B156" s="9" t="s">
        <v>109</v>
      </c>
      <c r="C156" s="7">
        <v>2.08</v>
      </c>
      <c r="D156" s="7">
        <v>2.08</v>
      </c>
      <c r="E156" s="7">
        <v>2</v>
      </c>
      <c r="F156" s="7">
        <v>2.04</v>
      </c>
      <c r="G156" s="3">
        <v>2669198</v>
      </c>
      <c r="H156" s="3">
        <v>2288.87</v>
      </c>
      <c r="I156" s="3">
        <v>1121996411</v>
      </c>
      <c r="J156" s="21">
        <f t="shared" si="3"/>
        <v>27.457108362708404</v>
      </c>
    </row>
    <row r="157" spans="1:10" ht="15" customHeight="1" x14ac:dyDescent="0.2">
      <c r="A157" t="s">
        <v>9</v>
      </c>
      <c r="B157" s="9" t="s">
        <v>108</v>
      </c>
      <c r="C157" s="7">
        <v>2.11</v>
      </c>
      <c r="D157" s="7">
        <v>2.21</v>
      </c>
      <c r="E157" s="7">
        <v>2.09</v>
      </c>
      <c r="F157" s="7">
        <v>2.21</v>
      </c>
      <c r="G157" s="3">
        <v>44954832</v>
      </c>
      <c r="H157" s="3">
        <v>2479.61</v>
      </c>
      <c r="I157" s="3">
        <v>1121996411</v>
      </c>
      <c r="J157" s="21">
        <f t="shared" si="3"/>
        <v>29.745200726267438</v>
      </c>
    </row>
    <row r="158" spans="1:10" ht="15" customHeight="1" x14ac:dyDescent="0.2">
      <c r="A158" t="s">
        <v>9</v>
      </c>
      <c r="B158" s="9" t="s">
        <v>107</v>
      </c>
      <c r="C158" s="7">
        <v>2.23</v>
      </c>
      <c r="D158" s="7">
        <v>2.23</v>
      </c>
      <c r="E158" s="7">
        <v>2.1800000000000002</v>
      </c>
      <c r="F158" s="7">
        <v>2.2000000000000002</v>
      </c>
      <c r="G158" s="3">
        <v>2835493</v>
      </c>
      <c r="H158" s="3">
        <v>2468.39</v>
      </c>
      <c r="I158" s="3">
        <v>1121996411</v>
      </c>
      <c r="J158" s="21">
        <f t="shared" si="3"/>
        <v>29.61060705782279</v>
      </c>
    </row>
    <row r="159" spans="1:10" ht="15" customHeight="1" x14ac:dyDescent="0.2">
      <c r="A159" t="s">
        <v>9</v>
      </c>
      <c r="B159" s="9" t="s">
        <v>106</v>
      </c>
      <c r="C159" s="7">
        <v>2.2000000000000002</v>
      </c>
      <c r="D159" s="7">
        <v>2.2200000000000002</v>
      </c>
      <c r="E159" s="7">
        <v>2.1800000000000002</v>
      </c>
      <c r="F159" s="7">
        <v>2.1800000000000002</v>
      </c>
      <c r="G159" s="3">
        <v>3201630</v>
      </c>
      <c r="H159" s="3">
        <v>2445.9499999999998</v>
      </c>
      <c r="I159" s="3">
        <v>1121996411</v>
      </c>
      <c r="J159" s="21">
        <f t="shared" si="3"/>
        <v>29.341419720933491</v>
      </c>
    </row>
    <row r="160" spans="1:10" ht="15" customHeight="1" x14ac:dyDescent="0.2">
      <c r="A160" t="s">
        <v>9</v>
      </c>
      <c r="B160" s="9" t="s">
        <v>105</v>
      </c>
      <c r="C160" s="7">
        <v>2.23</v>
      </c>
      <c r="D160" s="7">
        <v>2.25</v>
      </c>
      <c r="E160" s="7">
        <v>2.16</v>
      </c>
      <c r="F160" s="7">
        <v>2.2000000000000002</v>
      </c>
      <c r="G160" s="3">
        <v>3417297</v>
      </c>
      <c r="H160" s="3">
        <v>2468.39</v>
      </c>
      <c r="I160" s="3">
        <v>1121996411</v>
      </c>
      <c r="J160" s="21">
        <f t="shared" si="3"/>
        <v>29.61060705782279</v>
      </c>
    </row>
    <row r="161" spans="1:10" ht="15" customHeight="1" x14ac:dyDescent="0.2">
      <c r="A161" t="s">
        <v>9</v>
      </c>
      <c r="B161" s="9" t="s">
        <v>104</v>
      </c>
      <c r="C161" s="7">
        <v>2.2400000000000002</v>
      </c>
      <c r="D161" s="7">
        <v>2.27</v>
      </c>
      <c r="E161" s="7">
        <v>2.17</v>
      </c>
      <c r="F161" s="7">
        <v>2.17</v>
      </c>
      <c r="G161" s="3">
        <v>4505104</v>
      </c>
      <c r="H161" s="3">
        <v>2434.73</v>
      </c>
      <c r="I161" s="3">
        <v>1121996411</v>
      </c>
      <c r="J161" s="21">
        <f t="shared" si="3"/>
        <v>29.206826052488839</v>
      </c>
    </row>
    <row r="162" spans="1:10" ht="15" customHeight="1" x14ac:dyDescent="0.2">
      <c r="A162" t="s">
        <v>9</v>
      </c>
      <c r="B162" s="9" t="s">
        <v>103</v>
      </c>
      <c r="C162" s="7">
        <v>2.21</v>
      </c>
      <c r="D162" s="7">
        <v>2.23</v>
      </c>
      <c r="E162" s="7">
        <v>2.1549999999999998</v>
      </c>
      <c r="F162" s="7">
        <v>2.1800000000000002</v>
      </c>
      <c r="G162" s="3">
        <v>1642928</v>
      </c>
      <c r="H162" s="3">
        <v>2445.9499999999998</v>
      </c>
      <c r="I162" s="3">
        <v>1121996411</v>
      </c>
      <c r="J162" s="21">
        <f t="shared" si="3"/>
        <v>29.341419720933491</v>
      </c>
    </row>
    <row r="163" spans="1:10" ht="15" customHeight="1" x14ac:dyDescent="0.2">
      <c r="A163" t="s">
        <v>9</v>
      </c>
      <c r="B163" s="9" t="s">
        <v>102</v>
      </c>
      <c r="C163" s="7">
        <v>2.19</v>
      </c>
      <c r="D163" s="7">
        <v>2.2349999999999999</v>
      </c>
      <c r="E163" s="7">
        <v>2.16</v>
      </c>
      <c r="F163" s="7">
        <v>2.21</v>
      </c>
      <c r="G163" s="3">
        <v>2714189</v>
      </c>
      <c r="H163" s="3">
        <v>2479.61</v>
      </c>
      <c r="I163" s="3">
        <v>1121996411</v>
      </c>
      <c r="J163" s="21">
        <f t="shared" si="3"/>
        <v>29.745200726267438</v>
      </c>
    </row>
    <row r="164" spans="1:10" ht="15" customHeight="1" x14ac:dyDescent="0.2">
      <c r="A164" t="s">
        <v>9</v>
      </c>
      <c r="B164" s="9" t="s">
        <v>101</v>
      </c>
      <c r="C164" s="7">
        <v>2.23</v>
      </c>
      <c r="D164" s="7">
        <v>2.2549999999999999</v>
      </c>
      <c r="E164" s="7">
        <v>2.19</v>
      </c>
      <c r="F164" s="7">
        <v>2.2200000000000002</v>
      </c>
      <c r="G164" s="3">
        <v>1983252</v>
      </c>
      <c r="H164" s="3">
        <v>2490.83</v>
      </c>
      <c r="I164" s="3">
        <v>1121996411</v>
      </c>
      <c r="J164" s="21">
        <f t="shared" si="3"/>
        <v>29.879794394712089</v>
      </c>
    </row>
    <row r="165" spans="1:10" ht="15" customHeight="1" x14ac:dyDescent="0.2">
      <c r="A165" t="s">
        <v>9</v>
      </c>
      <c r="B165" s="9" t="s">
        <v>100</v>
      </c>
      <c r="C165" s="7">
        <v>2.21</v>
      </c>
      <c r="D165" s="7">
        <v>2.21</v>
      </c>
      <c r="E165" s="7">
        <v>2.16</v>
      </c>
      <c r="F165" s="7">
        <v>2.2000000000000002</v>
      </c>
      <c r="G165" s="3">
        <v>1613904</v>
      </c>
      <c r="H165" s="3">
        <v>2468.39</v>
      </c>
      <c r="I165" s="3">
        <v>1121996411</v>
      </c>
      <c r="J165" s="21">
        <f t="shared" si="3"/>
        <v>29.61060705782279</v>
      </c>
    </row>
    <row r="166" spans="1:10" ht="15" customHeight="1" x14ac:dyDescent="0.2">
      <c r="A166" t="s">
        <v>9</v>
      </c>
      <c r="B166" s="9" t="s">
        <v>99</v>
      </c>
      <c r="C166" s="7">
        <v>2.2400000000000002</v>
      </c>
      <c r="D166" s="7">
        <v>2.25</v>
      </c>
      <c r="E166" s="7">
        <v>2.19</v>
      </c>
      <c r="F166" s="7">
        <v>2.2000000000000002</v>
      </c>
      <c r="G166" s="3">
        <v>2159662</v>
      </c>
      <c r="H166" s="3">
        <v>2468.39</v>
      </c>
      <c r="I166" s="3">
        <v>1121996411</v>
      </c>
      <c r="J166" s="21">
        <f t="shared" si="3"/>
        <v>29.61060705782279</v>
      </c>
    </row>
    <row r="167" spans="1:10" ht="15" customHeight="1" x14ac:dyDescent="0.2">
      <c r="A167" t="s">
        <v>9</v>
      </c>
      <c r="B167" s="9" t="s">
        <v>98</v>
      </c>
      <c r="C167" s="7">
        <v>2.19</v>
      </c>
      <c r="D167" s="7">
        <v>2.2200000000000002</v>
      </c>
      <c r="E167" s="7">
        <v>2.1800000000000002</v>
      </c>
      <c r="F167" s="7">
        <v>2.19</v>
      </c>
      <c r="G167" s="3">
        <v>2023458</v>
      </c>
      <c r="H167" s="3">
        <v>2457.17</v>
      </c>
      <c r="I167" s="3">
        <v>1121996411</v>
      </c>
      <c r="J167" s="21">
        <f t="shared" si="3"/>
        <v>29.476013389378139</v>
      </c>
    </row>
    <row r="168" spans="1:10" ht="15" customHeight="1" x14ac:dyDescent="0.2">
      <c r="A168" t="s">
        <v>9</v>
      </c>
      <c r="B168" s="9" t="s">
        <v>97</v>
      </c>
      <c r="C168" s="7">
        <v>2.2000000000000002</v>
      </c>
      <c r="D168" s="7">
        <v>2.25</v>
      </c>
      <c r="E168" s="7">
        <v>2.1850000000000001</v>
      </c>
      <c r="F168" s="7">
        <v>2.19</v>
      </c>
      <c r="G168" s="3">
        <v>2898292</v>
      </c>
      <c r="H168" s="3">
        <v>2457.17</v>
      </c>
      <c r="I168" s="3">
        <v>1121996411</v>
      </c>
      <c r="J168" s="21">
        <f t="shared" si="3"/>
        <v>29.476013389378139</v>
      </c>
    </row>
    <row r="169" spans="1:10" ht="15" customHeight="1" x14ac:dyDescent="0.2">
      <c r="A169" t="s">
        <v>9</v>
      </c>
      <c r="B169" s="9" t="s">
        <v>96</v>
      </c>
      <c r="C169" s="7">
        <v>2.15</v>
      </c>
      <c r="D169" s="7">
        <v>2.1800000000000002</v>
      </c>
      <c r="E169" s="7">
        <v>2.0699999999999998</v>
      </c>
      <c r="F169" s="7">
        <v>2.14</v>
      </c>
      <c r="G169" s="3">
        <v>4115264</v>
      </c>
      <c r="H169" s="3">
        <v>2401.0700000000002</v>
      </c>
      <c r="I169" s="3">
        <v>1121996411</v>
      </c>
      <c r="J169" s="21">
        <f t="shared" si="3"/>
        <v>28.803045047154896</v>
      </c>
    </row>
    <row r="170" spans="1:10" ht="15" customHeight="1" x14ac:dyDescent="0.2">
      <c r="A170" t="s">
        <v>9</v>
      </c>
      <c r="B170" s="9" t="s">
        <v>95</v>
      </c>
      <c r="C170" s="7">
        <v>2.16</v>
      </c>
      <c r="D170" s="7">
        <v>2.27</v>
      </c>
      <c r="E170" s="7">
        <v>2.13</v>
      </c>
      <c r="F170" s="7">
        <v>2.27</v>
      </c>
      <c r="G170" s="3">
        <v>4184964</v>
      </c>
      <c r="H170" s="3">
        <v>2546.9299999999998</v>
      </c>
      <c r="I170" s="3">
        <v>1121996411</v>
      </c>
      <c r="J170" s="21">
        <f t="shared" si="3"/>
        <v>30.552762736935332</v>
      </c>
    </row>
    <row r="171" spans="1:10" ht="15" customHeight="1" x14ac:dyDescent="0.2">
      <c r="A171" t="s">
        <v>9</v>
      </c>
      <c r="B171" s="9" t="s">
        <v>94</v>
      </c>
      <c r="C171" s="7">
        <v>2.21</v>
      </c>
      <c r="D171" s="7">
        <v>2.21</v>
      </c>
      <c r="E171" s="7">
        <v>2.12</v>
      </c>
      <c r="F171" s="7">
        <v>2.2000000000000002</v>
      </c>
      <c r="G171" s="3">
        <v>3529342</v>
      </c>
      <c r="H171" s="3">
        <v>2468.39</v>
      </c>
      <c r="I171" s="3">
        <v>1121996411</v>
      </c>
      <c r="J171" s="21">
        <f t="shared" si="3"/>
        <v>29.61060705782279</v>
      </c>
    </row>
    <row r="172" spans="1:10" ht="15" customHeight="1" x14ac:dyDescent="0.2">
      <c r="A172" t="s">
        <v>9</v>
      </c>
      <c r="B172" s="9" t="s">
        <v>93</v>
      </c>
      <c r="C172" s="7">
        <v>2.2000000000000002</v>
      </c>
      <c r="D172" s="7">
        <v>2.23</v>
      </c>
      <c r="E172" s="7">
        <v>2.17</v>
      </c>
      <c r="F172" s="7">
        <v>2.19</v>
      </c>
      <c r="G172" s="3">
        <v>4459257</v>
      </c>
      <c r="H172" s="3">
        <v>2457.17</v>
      </c>
      <c r="I172" s="3">
        <v>1121996411</v>
      </c>
      <c r="J172" s="21">
        <f t="shared" si="3"/>
        <v>29.476013389378139</v>
      </c>
    </row>
    <row r="173" spans="1:10" ht="15" customHeight="1" x14ac:dyDescent="0.2">
      <c r="A173" t="s">
        <v>9</v>
      </c>
      <c r="B173" s="9" t="s">
        <v>92</v>
      </c>
      <c r="C173" s="7">
        <v>2.13</v>
      </c>
      <c r="D173" s="7">
        <v>2.16</v>
      </c>
      <c r="E173" s="7">
        <v>2.0449999999999999</v>
      </c>
      <c r="F173" s="7">
        <v>2.0699999999999998</v>
      </c>
      <c r="G173" s="3">
        <v>3934080</v>
      </c>
      <c r="H173" s="3">
        <v>2322.5300000000002</v>
      </c>
      <c r="I173" s="3">
        <v>1121996411</v>
      </c>
      <c r="J173" s="21">
        <f t="shared" si="3"/>
        <v>27.860889368042347</v>
      </c>
    </row>
    <row r="174" spans="1:10" ht="15" customHeight="1" x14ac:dyDescent="0.2">
      <c r="A174" t="s">
        <v>9</v>
      </c>
      <c r="B174" s="9" t="s">
        <v>91</v>
      </c>
      <c r="C174" s="7">
        <v>2.09</v>
      </c>
      <c r="D174" s="7">
        <v>2.15</v>
      </c>
      <c r="E174" s="7">
        <v>2.0699999999999998</v>
      </c>
      <c r="F174" s="7">
        <v>2.14</v>
      </c>
      <c r="G174" s="3">
        <v>4487720</v>
      </c>
      <c r="H174" s="3">
        <v>2401.0700000000002</v>
      </c>
      <c r="I174" s="3">
        <v>1121996411</v>
      </c>
      <c r="J174" s="21">
        <f t="shared" si="3"/>
        <v>28.803045047154896</v>
      </c>
    </row>
    <row r="175" spans="1:10" ht="15" customHeight="1" x14ac:dyDescent="0.2">
      <c r="A175" t="s">
        <v>9</v>
      </c>
      <c r="B175" s="9" t="s">
        <v>90</v>
      </c>
      <c r="C175" s="7">
        <v>2.15</v>
      </c>
      <c r="D175" s="7">
        <v>2.19</v>
      </c>
      <c r="E175" s="7">
        <v>2.09</v>
      </c>
      <c r="F175" s="7">
        <v>2.1800000000000002</v>
      </c>
      <c r="G175" s="3">
        <v>4379793</v>
      </c>
      <c r="H175" s="3">
        <v>2445.9499999999998</v>
      </c>
      <c r="I175" s="3">
        <v>1121996411</v>
      </c>
      <c r="J175" s="21">
        <f t="shared" si="3"/>
        <v>29.341419720933491</v>
      </c>
    </row>
    <row r="176" spans="1:10" ht="15" customHeight="1" x14ac:dyDescent="0.2">
      <c r="A176" t="s">
        <v>9</v>
      </c>
      <c r="B176" s="9" t="s">
        <v>89</v>
      </c>
      <c r="C176" s="7">
        <v>2.14</v>
      </c>
      <c r="D176" s="7">
        <v>2.14</v>
      </c>
      <c r="E176" s="7">
        <v>2.0699999999999998</v>
      </c>
      <c r="F176" s="7">
        <v>2.0699999999999998</v>
      </c>
      <c r="G176" s="3">
        <v>3873791</v>
      </c>
      <c r="H176" s="3">
        <v>2335.5700000000002</v>
      </c>
      <c r="I176" s="3">
        <v>1128297058</v>
      </c>
      <c r="J176" s="21">
        <f t="shared" si="3"/>
        <v>27.860889368042347</v>
      </c>
    </row>
    <row r="177" spans="1:10" ht="15" customHeight="1" x14ac:dyDescent="0.2">
      <c r="A177" t="s">
        <v>9</v>
      </c>
      <c r="B177" s="9" t="s">
        <v>88</v>
      </c>
      <c r="C177" s="7">
        <v>2.09</v>
      </c>
      <c r="D177" s="7">
        <v>2.1150000000000002</v>
      </c>
      <c r="E177" s="7">
        <v>2.09</v>
      </c>
      <c r="F177" s="7">
        <v>2.11</v>
      </c>
      <c r="G177" s="3">
        <v>3258693</v>
      </c>
      <c r="H177" s="3">
        <v>2380.71</v>
      </c>
      <c r="I177" s="3">
        <v>1128297058</v>
      </c>
      <c r="J177" s="21">
        <f t="shared" si="3"/>
        <v>28.399264041820945</v>
      </c>
    </row>
    <row r="178" spans="1:10" ht="15" customHeight="1" x14ac:dyDescent="0.2">
      <c r="A178" t="s">
        <v>9</v>
      </c>
      <c r="B178" s="9" t="s">
        <v>87</v>
      </c>
      <c r="C178" s="7">
        <v>2.14</v>
      </c>
      <c r="D178" s="7">
        <v>2.1800000000000002</v>
      </c>
      <c r="E178" s="7">
        <v>2.11</v>
      </c>
      <c r="F178" s="7">
        <v>2.11</v>
      </c>
      <c r="G178" s="3">
        <v>3065109</v>
      </c>
      <c r="H178" s="3">
        <v>2380.71</v>
      </c>
      <c r="I178" s="3">
        <v>1128297058</v>
      </c>
      <c r="J178" s="21">
        <f t="shared" si="3"/>
        <v>28.399264041820945</v>
      </c>
    </row>
    <row r="179" spans="1:10" ht="15" customHeight="1" x14ac:dyDescent="0.2">
      <c r="A179" t="s">
        <v>9</v>
      </c>
      <c r="B179" s="9" t="s">
        <v>86</v>
      </c>
      <c r="C179" s="7">
        <v>2.14</v>
      </c>
      <c r="D179" s="7">
        <v>2.16</v>
      </c>
      <c r="E179" s="7">
        <v>2.12</v>
      </c>
      <c r="F179" s="7">
        <v>2.15</v>
      </c>
      <c r="G179" s="3">
        <v>3263343</v>
      </c>
      <c r="H179" s="3">
        <v>2425.84</v>
      </c>
      <c r="I179" s="3">
        <v>1128297058</v>
      </c>
      <c r="J179" s="21">
        <f t="shared" si="3"/>
        <v>28.93763871559954</v>
      </c>
    </row>
    <row r="180" spans="1:10" ht="15" customHeight="1" x14ac:dyDescent="0.2">
      <c r="A180" t="s">
        <v>9</v>
      </c>
      <c r="B180" s="9" t="s">
        <v>85</v>
      </c>
      <c r="C180" s="7">
        <v>2.23</v>
      </c>
      <c r="D180" s="7">
        <v>2.2400000000000002</v>
      </c>
      <c r="E180" s="7">
        <v>2.1800000000000002</v>
      </c>
      <c r="F180" s="7">
        <v>2.2000000000000002</v>
      </c>
      <c r="G180" s="3">
        <v>6815223</v>
      </c>
      <c r="H180" s="3">
        <v>2482.25</v>
      </c>
      <c r="I180" s="3">
        <v>1128297058</v>
      </c>
      <c r="J180" s="21">
        <f t="shared" si="3"/>
        <v>29.61060705782279</v>
      </c>
    </row>
    <row r="181" spans="1:10" ht="15" customHeight="1" x14ac:dyDescent="0.2">
      <c r="A181" t="s">
        <v>9</v>
      </c>
      <c r="B181" s="9" t="s">
        <v>84</v>
      </c>
      <c r="C181" s="7">
        <v>2.21</v>
      </c>
      <c r="D181" s="7">
        <v>2.2200000000000002</v>
      </c>
      <c r="E181" s="7">
        <v>2.16</v>
      </c>
      <c r="F181" s="7">
        <v>2.17</v>
      </c>
      <c r="G181" s="3">
        <v>4441009</v>
      </c>
      <c r="H181" s="3">
        <v>2448.4</v>
      </c>
      <c r="I181" s="3">
        <v>1128297058</v>
      </c>
      <c r="J181" s="21">
        <f t="shared" si="3"/>
        <v>29.206826052488839</v>
      </c>
    </row>
    <row r="182" spans="1:10" ht="15" customHeight="1" x14ac:dyDescent="0.2">
      <c r="A182" t="s">
        <v>9</v>
      </c>
      <c r="B182" s="9" t="s">
        <v>83</v>
      </c>
      <c r="C182" s="7">
        <v>2.19</v>
      </c>
      <c r="D182" s="7">
        <v>2.2050000000000001</v>
      </c>
      <c r="E182" s="7">
        <v>2.09</v>
      </c>
      <c r="F182" s="7">
        <v>2.11</v>
      </c>
      <c r="G182" s="3">
        <v>4342126</v>
      </c>
      <c r="H182" s="3">
        <v>2381.0300000000002</v>
      </c>
      <c r="I182" s="3">
        <v>1128451608</v>
      </c>
      <c r="J182" s="21">
        <f t="shared" si="3"/>
        <v>28.399264041820945</v>
      </c>
    </row>
    <row r="183" spans="1:10" ht="15" customHeight="1" x14ac:dyDescent="0.2">
      <c r="A183" t="s">
        <v>9</v>
      </c>
      <c r="B183" s="9" t="s">
        <v>82</v>
      </c>
      <c r="C183" s="7">
        <v>2.08</v>
      </c>
      <c r="D183" s="7">
        <v>2.12</v>
      </c>
      <c r="E183" s="7">
        <v>2.0499999999999998</v>
      </c>
      <c r="F183" s="7">
        <v>2.1</v>
      </c>
      <c r="G183" s="3">
        <v>4569170</v>
      </c>
      <c r="H183" s="3">
        <v>2369.75</v>
      </c>
      <c r="I183" s="3">
        <v>1128451608</v>
      </c>
      <c r="J183" s="21">
        <f t="shared" si="3"/>
        <v>28.264670373376298</v>
      </c>
    </row>
    <row r="184" spans="1:10" ht="15" customHeight="1" x14ac:dyDescent="0.2">
      <c r="A184" t="s">
        <v>9</v>
      </c>
      <c r="B184" s="9" t="s">
        <v>81</v>
      </c>
      <c r="C184" s="7">
        <v>2.1</v>
      </c>
      <c r="D184" s="7">
        <v>2.14</v>
      </c>
      <c r="E184" s="7">
        <v>2.06</v>
      </c>
      <c r="F184" s="7">
        <v>2.12</v>
      </c>
      <c r="G184" s="3">
        <v>4927386</v>
      </c>
      <c r="H184" s="3">
        <v>2392.3200000000002</v>
      </c>
      <c r="I184" s="3">
        <v>1128451608</v>
      </c>
      <c r="J184" s="21">
        <f t="shared" si="3"/>
        <v>28.533857710265597</v>
      </c>
    </row>
    <row r="185" spans="1:10" ht="15" customHeight="1" x14ac:dyDescent="0.2">
      <c r="A185" t="s">
        <v>9</v>
      </c>
      <c r="B185" s="9" t="s">
        <v>80</v>
      </c>
      <c r="C185" s="7">
        <v>2.14</v>
      </c>
      <c r="D185" s="7">
        <v>2.19</v>
      </c>
      <c r="E185" s="7">
        <v>2.11</v>
      </c>
      <c r="F185" s="7">
        <v>2.11</v>
      </c>
      <c r="G185" s="3">
        <v>16905572</v>
      </c>
      <c r="H185" s="3">
        <v>2381.0300000000002</v>
      </c>
      <c r="I185" s="3">
        <v>1128451608</v>
      </c>
      <c r="J185" s="21">
        <f t="shared" si="3"/>
        <v>28.399264041820945</v>
      </c>
    </row>
    <row r="186" spans="1:10" ht="15" customHeight="1" x14ac:dyDescent="0.2">
      <c r="A186" t="s">
        <v>9</v>
      </c>
      <c r="B186" s="9" t="s">
        <v>79</v>
      </c>
      <c r="C186" s="7">
        <v>2.11</v>
      </c>
      <c r="D186" s="7">
        <v>2.16</v>
      </c>
      <c r="E186" s="7">
        <v>2.0699999999999998</v>
      </c>
      <c r="F186" s="7">
        <v>2.11</v>
      </c>
      <c r="G186" s="3">
        <v>3651624</v>
      </c>
      <c r="H186" s="3">
        <v>2381.0300000000002</v>
      </c>
      <c r="I186" s="3">
        <v>1128451608</v>
      </c>
      <c r="J186" s="21">
        <f t="shared" si="3"/>
        <v>28.399264041820945</v>
      </c>
    </row>
    <row r="187" spans="1:10" ht="15" customHeight="1" x14ac:dyDescent="0.2">
      <c r="A187" t="s">
        <v>9</v>
      </c>
      <c r="B187" s="9" t="s">
        <v>78</v>
      </c>
      <c r="C187" s="7">
        <v>2.0699999999999998</v>
      </c>
      <c r="D187" s="7">
        <v>2.1</v>
      </c>
      <c r="E187" s="7">
        <v>2.0499999999999998</v>
      </c>
      <c r="F187" s="7">
        <v>2.0699999999999998</v>
      </c>
      <c r="G187" s="3">
        <v>5491680</v>
      </c>
      <c r="H187" s="3">
        <v>2335.89</v>
      </c>
      <c r="I187" s="3">
        <v>1128451608</v>
      </c>
      <c r="J187" s="21">
        <f t="shared" si="3"/>
        <v>27.860889368042347</v>
      </c>
    </row>
    <row r="188" spans="1:10" ht="15" customHeight="1" x14ac:dyDescent="0.2">
      <c r="A188" t="s">
        <v>9</v>
      </c>
      <c r="B188" s="9" t="s">
        <v>77</v>
      </c>
      <c r="C188" s="7">
        <v>2.14</v>
      </c>
      <c r="D188" s="7">
        <v>2.1850000000000001</v>
      </c>
      <c r="E188" s="7">
        <v>2.1</v>
      </c>
      <c r="F188" s="7">
        <v>2.1</v>
      </c>
      <c r="G188" s="3">
        <v>4713110</v>
      </c>
      <c r="H188" s="3">
        <v>2369.75</v>
      </c>
      <c r="I188" s="3">
        <v>1128451608</v>
      </c>
      <c r="J188" s="21">
        <f t="shared" si="3"/>
        <v>28.264670373376298</v>
      </c>
    </row>
    <row r="189" spans="1:10" ht="15" customHeight="1" x14ac:dyDescent="0.2">
      <c r="A189" t="s">
        <v>9</v>
      </c>
      <c r="B189" s="9" t="s">
        <v>76</v>
      </c>
      <c r="C189" s="7">
        <v>2.13</v>
      </c>
      <c r="D189" s="7">
        <v>2.15</v>
      </c>
      <c r="E189" s="7">
        <v>2.09</v>
      </c>
      <c r="F189" s="7">
        <v>2.15</v>
      </c>
      <c r="G189" s="3">
        <v>4492014</v>
      </c>
      <c r="H189" s="3">
        <v>2426.17</v>
      </c>
      <c r="I189" s="3">
        <v>1128451608</v>
      </c>
      <c r="J189" s="21">
        <f t="shared" si="3"/>
        <v>28.93763871559954</v>
      </c>
    </row>
    <row r="190" spans="1:10" ht="15" customHeight="1" x14ac:dyDescent="0.2">
      <c r="A190" t="s">
        <v>9</v>
      </c>
      <c r="B190" s="9" t="s">
        <v>75</v>
      </c>
      <c r="C190" s="7">
        <v>2.11</v>
      </c>
      <c r="D190" s="7">
        <v>2.15</v>
      </c>
      <c r="E190" s="7">
        <v>2.09</v>
      </c>
      <c r="F190" s="7">
        <v>2.15</v>
      </c>
      <c r="G190" s="3">
        <v>4089913</v>
      </c>
      <c r="H190" s="3">
        <v>2426.17</v>
      </c>
      <c r="I190" s="3">
        <v>1128451608</v>
      </c>
      <c r="J190" s="21">
        <f t="shared" si="3"/>
        <v>28.93763871559954</v>
      </c>
    </row>
    <row r="191" spans="1:10" ht="15" customHeight="1" x14ac:dyDescent="0.2">
      <c r="A191" t="s">
        <v>9</v>
      </c>
      <c r="B191" s="9" t="s">
        <v>74</v>
      </c>
      <c r="C191" s="7">
        <v>2.14</v>
      </c>
      <c r="D191" s="7">
        <v>2.14</v>
      </c>
      <c r="E191" s="7">
        <v>2.0299999999999998</v>
      </c>
      <c r="F191" s="7">
        <v>2.06</v>
      </c>
      <c r="G191" s="3">
        <v>5991535</v>
      </c>
      <c r="H191" s="3">
        <v>2324.61</v>
      </c>
      <c r="I191" s="3">
        <v>1128451608</v>
      </c>
      <c r="J191" s="21">
        <f t="shared" si="3"/>
        <v>27.726295699597703</v>
      </c>
    </row>
    <row r="192" spans="1:10" ht="15" customHeight="1" x14ac:dyDescent="0.2">
      <c r="A192" t="s">
        <v>9</v>
      </c>
      <c r="B192" s="9" t="s">
        <v>73</v>
      </c>
      <c r="C192" s="7">
        <v>2.04</v>
      </c>
      <c r="D192" s="7">
        <v>2.0499999999999998</v>
      </c>
      <c r="E192" s="7">
        <v>2.0099999999999998</v>
      </c>
      <c r="F192" s="7">
        <v>2.04</v>
      </c>
      <c r="G192" s="3">
        <v>3004706</v>
      </c>
      <c r="H192" s="3">
        <v>2302.04</v>
      </c>
      <c r="I192" s="3">
        <v>1128451608</v>
      </c>
      <c r="J192" s="21">
        <f t="shared" si="3"/>
        <v>27.457108362708404</v>
      </c>
    </row>
    <row r="193" spans="1:10" ht="15" customHeight="1" x14ac:dyDescent="0.2">
      <c r="A193" t="s">
        <v>9</v>
      </c>
      <c r="B193" s="9" t="s">
        <v>72</v>
      </c>
      <c r="C193" s="7">
        <v>2.08</v>
      </c>
      <c r="D193" s="7">
        <v>2.125</v>
      </c>
      <c r="E193" s="7">
        <v>2.0699999999999998</v>
      </c>
      <c r="F193" s="7">
        <v>2.09</v>
      </c>
      <c r="G193" s="3">
        <v>4624069</v>
      </c>
      <c r="H193" s="3">
        <v>2358.46</v>
      </c>
      <c r="I193" s="3">
        <v>1128451608</v>
      </c>
      <c r="J193" s="21">
        <f t="shared" si="3"/>
        <v>28.130076704931646</v>
      </c>
    </row>
    <row r="194" spans="1:10" ht="15" customHeight="1" x14ac:dyDescent="0.2">
      <c r="A194" t="s">
        <v>9</v>
      </c>
      <c r="B194" s="9" t="s">
        <v>71</v>
      </c>
      <c r="C194" s="7">
        <v>2.08</v>
      </c>
      <c r="D194" s="7">
        <v>2.08</v>
      </c>
      <c r="E194" s="7">
        <v>2</v>
      </c>
      <c r="F194" s="7">
        <v>2.02</v>
      </c>
      <c r="G194" s="3">
        <v>2495368</v>
      </c>
      <c r="H194" s="3">
        <v>2279.4699999999998</v>
      </c>
      <c r="I194" s="3">
        <v>1128451608</v>
      </c>
      <c r="J194" s="21">
        <f t="shared" si="3"/>
        <v>27.187921025819104</v>
      </c>
    </row>
    <row r="195" spans="1:10" ht="15" customHeight="1" x14ac:dyDescent="0.2">
      <c r="A195" t="s">
        <v>9</v>
      </c>
      <c r="B195" s="9" t="s">
        <v>70</v>
      </c>
      <c r="C195" s="7">
        <v>2.02</v>
      </c>
      <c r="D195" s="7">
        <v>2.0449999999999999</v>
      </c>
      <c r="E195" s="7">
        <v>1.98</v>
      </c>
      <c r="F195" s="7">
        <v>2.04</v>
      </c>
      <c r="G195" s="3">
        <v>2738137</v>
      </c>
      <c r="H195" s="3">
        <v>2302.04</v>
      </c>
      <c r="I195" s="3">
        <v>1128451608</v>
      </c>
      <c r="J195" s="21">
        <f t="shared" si="3"/>
        <v>27.457108362708404</v>
      </c>
    </row>
    <row r="196" spans="1:10" ht="15" customHeight="1" x14ac:dyDescent="0.2">
      <c r="A196" t="s">
        <v>9</v>
      </c>
      <c r="B196" s="9" t="s">
        <v>69</v>
      </c>
      <c r="C196" s="7">
        <v>2.04</v>
      </c>
      <c r="D196" s="7">
        <v>2.04</v>
      </c>
      <c r="E196" s="7">
        <v>1.98</v>
      </c>
      <c r="F196" s="7">
        <v>2.02</v>
      </c>
      <c r="G196" s="3">
        <v>2157597</v>
      </c>
      <c r="H196" s="3">
        <v>2279.4699999999998</v>
      </c>
      <c r="I196" s="3">
        <v>1128451608</v>
      </c>
      <c r="J196" s="21">
        <f t="shared" si="3"/>
        <v>27.187921025819104</v>
      </c>
    </row>
    <row r="197" spans="1:10" ht="15" customHeight="1" x14ac:dyDescent="0.2">
      <c r="A197" t="s">
        <v>9</v>
      </c>
      <c r="B197" s="9" t="s">
        <v>68</v>
      </c>
      <c r="C197" s="7">
        <v>1.9950000000000001</v>
      </c>
      <c r="D197" s="7">
        <v>2.0299999999999998</v>
      </c>
      <c r="E197" s="7">
        <v>1.99</v>
      </c>
      <c r="F197" s="7">
        <v>2.0099999999999998</v>
      </c>
      <c r="G197" s="3">
        <v>2128136</v>
      </c>
      <c r="H197" s="3">
        <v>2268.19</v>
      </c>
      <c r="I197" s="3">
        <v>1128451608</v>
      </c>
      <c r="J197" s="21">
        <f t="shared" si="3"/>
        <v>27.053327357374453</v>
      </c>
    </row>
    <row r="198" spans="1:10" ht="15" customHeight="1" x14ac:dyDescent="0.2">
      <c r="A198" t="s">
        <v>9</v>
      </c>
      <c r="B198" s="9" t="s">
        <v>67</v>
      </c>
      <c r="C198" s="7">
        <v>1.98</v>
      </c>
      <c r="D198" s="7">
        <v>2.0299999999999998</v>
      </c>
      <c r="E198" s="7">
        <v>1.98</v>
      </c>
      <c r="F198" s="7">
        <v>1.9950000000000001</v>
      </c>
      <c r="G198" s="3">
        <v>1690731</v>
      </c>
      <c r="H198" s="3">
        <v>2251.2600000000002</v>
      </c>
      <c r="I198" s="3">
        <v>1128451608</v>
      </c>
      <c r="J198" s="21">
        <f t="shared" si="3"/>
        <v>26.851436854707483</v>
      </c>
    </row>
    <row r="199" spans="1:10" ht="15" customHeight="1" x14ac:dyDescent="0.2">
      <c r="A199" t="s">
        <v>9</v>
      </c>
      <c r="B199" s="9" t="s">
        <v>66</v>
      </c>
      <c r="C199" s="7">
        <v>2.02</v>
      </c>
      <c r="D199" s="7">
        <v>2.0350000000000001</v>
      </c>
      <c r="E199" s="7">
        <v>2.0049999999999999</v>
      </c>
      <c r="F199" s="7">
        <v>2.0299999999999998</v>
      </c>
      <c r="G199" s="3">
        <v>1385526</v>
      </c>
      <c r="H199" s="3">
        <v>2290.7600000000002</v>
      </c>
      <c r="I199" s="3">
        <v>1128451608</v>
      </c>
      <c r="J199" s="21">
        <f t="shared" ref="J199:J255" si="4">F199/0.0742977</f>
        <v>27.322514694263752</v>
      </c>
    </row>
    <row r="200" spans="1:10" ht="15" customHeight="1" x14ac:dyDescent="0.2">
      <c r="A200" t="s">
        <v>9</v>
      </c>
      <c r="B200" s="9" t="s">
        <v>65</v>
      </c>
      <c r="C200" s="7">
        <v>2.0499999999999998</v>
      </c>
      <c r="D200" s="7">
        <v>2.1</v>
      </c>
      <c r="E200" s="7">
        <v>2.0499999999999998</v>
      </c>
      <c r="F200" s="7">
        <v>2.0699999999999998</v>
      </c>
      <c r="G200" s="3">
        <v>2434260</v>
      </c>
      <c r="H200" s="3">
        <v>2335.89</v>
      </c>
      <c r="I200" s="3">
        <v>1128451608</v>
      </c>
      <c r="J200" s="21">
        <f t="shared" si="4"/>
        <v>27.860889368042347</v>
      </c>
    </row>
    <row r="201" spans="1:10" ht="15" customHeight="1" x14ac:dyDescent="0.2">
      <c r="A201" t="s">
        <v>9</v>
      </c>
      <c r="B201" s="9" t="s">
        <v>64</v>
      </c>
      <c r="C201" s="7">
        <v>2.09</v>
      </c>
      <c r="D201" s="7">
        <v>2.09</v>
      </c>
      <c r="E201" s="7">
        <v>2.04</v>
      </c>
      <c r="F201" s="7">
        <v>2.0499999999999998</v>
      </c>
      <c r="G201" s="3">
        <v>2766684</v>
      </c>
      <c r="H201" s="3">
        <v>2313.33</v>
      </c>
      <c r="I201" s="3">
        <v>1128451608</v>
      </c>
      <c r="J201" s="21">
        <f t="shared" si="4"/>
        <v>27.591702031153051</v>
      </c>
    </row>
    <row r="202" spans="1:10" ht="15" customHeight="1" x14ac:dyDescent="0.2">
      <c r="A202" t="s">
        <v>9</v>
      </c>
      <c r="B202" s="9" t="s">
        <v>63</v>
      </c>
      <c r="C202" s="7">
        <v>2.08</v>
      </c>
      <c r="D202" s="7">
        <v>2.13</v>
      </c>
      <c r="E202" s="7">
        <v>2.0699999999999998</v>
      </c>
      <c r="F202" s="7">
        <v>2.08</v>
      </c>
      <c r="G202" s="3">
        <v>2450242</v>
      </c>
      <c r="H202" s="3">
        <v>2347.1799999999998</v>
      </c>
      <c r="I202" s="3">
        <v>1128451608</v>
      </c>
      <c r="J202" s="21">
        <f t="shared" si="4"/>
        <v>27.995483036487002</v>
      </c>
    </row>
    <row r="203" spans="1:10" ht="15" customHeight="1" x14ac:dyDescent="0.2">
      <c r="A203" t="s">
        <v>9</v>
      </c>
      <c r="B203" s="9" t="s">
        <v>62</v>
      </c>
      <c r="C203" s="7">
        <v>2.12</v>
      </c>
      <c r="D203" s="7">
        <v>2.19</v>
      </c>
      <c r="E203" s="7">
        <v>2.11</v>
      </c>
      <c r="F203" s="7">
        <v>2.19</v>
      </c>
      <c r="G203" s="3">
        <v>4890832</v>
      </c>
      <c r="H203" s="3">
        <v>2471.31</v>
      </c>
      <c r="I203" s="3">
        <v>1128451608</v>
      </c>
      <c r="J203" s="21">
        <f t="shared" si="4"/>
        <v>29.476013389378139</v>
      </c>
    </row>
    <row r="204" spans="1:10" ht="15" customHeight="1" x14ac:dyDescent="0.2">
      <c r="A204" t="s">
        <v>9</v>
      </c>
      <c r="B204" s="9" t="s">
        <v>61</v>
      </c>
      <c r="C204" s="7">
        <v>2.2400000000000002</v>
      </c>
      <c r="D204" s="7">
        <v>2.3199999999999998</v>
      </c>
      <c r="E204" s="7">
        <v>2.2000000000000002</v>
      </c>
      <c r="F204" s="7">
        <v>2.3199999999999998</v>
      </c>
      <c r="G204" s="3">
        <v>11871902</v>
      </c>
      <c r="H204" s="3">
        <v>2618.0100000000002</v>
      </c>
      <c r="I204" s="3">
        <v>1128451608</v>
      </c>
      <c r="J204" s="21">
        <f t="shared" si="4"/>
        <v>31.225731079158574</v>
      </c>
    </row>
    <row r="205" spans="1:10" ht="15" customHeight="1" x14ac:dyDescent="0.2">
      <c r="A205" t="s">
        <v>9</v>
      </c>
      <c r="B205" s="9" t="s">
        <v>60</v>
      </c>
      <c r="C205" s="7">
        <v>2.2999999999999998</v>
      </c>
      <c r="D205" s="7">
        <v>2.3199999999999998</v>
      </c>
      <c r="E205" s="7">
        <v>2.2549999999999999</v>
      </c>
      <c r="F205" s="7">
        <v>2.2999999999999998</v>
      </c>
      <c r="G205" s="3">
        <v>42702149</v>
      </c>
      <c r="H205" s="3">
        <v>2595.44</v>
      </c>
      <c r="I205" s="3">
        <v>1128451608</v>
      </c>
      <c r="J205" s="21">
        <f t="shared" si="4"/>
        <v>30.956543742269275</v>
      </c>
    </row>
    <row r="206" spans="1:10" ht="15" customHeight="1" x14ac:dyDescent="0.2">
      <c r="A206" t="s">
        <v>9</v>
      </c>
      <c r="B206" s="9" t="s">
        <v>59</v>
      </c>
      <c r="C206" s="7">
        <v>2.4</v>
      </c>
      <c r="D206" s="7">
        <v>2.4750000000000001</v>
      </c>
      <c r="E206" s="7">
        <v>2.375</v>
      </c>
      <c r="F206" s="7">
        <v>2.4700000000000002</v>
      </c>
      <c r="G206" s="3">
        <v>5538373</v>
      </c>
      <c r="H206" s="3">
        <v>2787.28</v>
      </c>
      <c r="I206" s="3">
        <v>1128451608</v>
      </c>
      <c r="J206" s="21">
        <f t="shared" si="4"/>
        <v>33.244636105828313</v>
      </c>
    </row>
    <row r="207" spans="1:10" ht="15" customHeight="1" x14ac:dyDescent="0.2">
      <c r="A207" t="s">
        <v>9</v>
      </c>
      <c r="B207" s="9" t="s">
        <v>58</v>
      </c>
      <c r="C207" s="7">
        <v>2.4300000000000002</v>
      </c>
      <c r="D207" s="7">
        <v>2.4900000000000002</v>
      </c>
      <c r="E207" s="7">
        <v>2.3849999999999998</v>
      </c>
      <c r="F207" s="7">
        <v>2.4900000000000002</v>
      </c>
      <c r="G207" s="3">
        <v>4257193</v>
      </c>
      <c r="H207" s="3">
        <v>2809.84</v>
      </c>
      <c r="I207" s="3">
        <v>1128451608</v>
      </c>
      <c r="J207" s="21">
        <f t="shared" si="4"/>
        <v>33.513823442717616</v>
      </c>
    </row>
    <row r="208" spans="1:10" ht="15" customHeight="1" x14ac:dyDescent="0.2">
      <c r="A208" t="s">
        <v>9</v>
      </c>
      <c r="B208" s="9" t="s">
        <v>57</v>
      </c>
      <c r="C208" s="7">
        <v>2.4700000000000002</v>
      </c>
      <c r="D208" s="7">
        <v>2.5750000000000002</v>
      </c>
      <c r="E208" s="7">
        <v>2.46</v>
      </c>
      <c r="F208" s="7">
        <v>2.56</v>
      </c>
      <c r="G208" s="3">
        <v>7551288</v>
      </c>
      <c r="H208" s="3">
        <v>2888.84</v>
      </c>
      <c r="I208" s="3">
        <v>1128451608</v>
      </c>
      <c r="J208" s="21">
        <f t="shared" si="4"/>
        <v>34.455979121830154</v>
      </c>
    </row>
    <row r="209" spans="1:10" ht="15" customHeight="1" x14ac:dyDescent="0.2">
      <c r="A209" t="s">
        <v>9</v>
      </c>
      <c r="B209" s="9" t="s">
        <v>56</v>
      </c>
      <c r="C209" s="7">
        <v>2.4900000000000002</v>
      </c>
      <c r="D209" s="7">
        <v>2.52</v>
      </c>
      <c r="E209" s="7">
        <v>2.4300000000000002</v>
      </c>
      <c r="F209" s="7">
        <v>2.4900000000000002</v>
      </c>
      <c r="G209" s="3">
        <v>4814698</v>
      </c>
      <c r="H209" s="3">
        <v>2810.09</v>
      </c>
      <c r="I209" s="3">
        <v>1128548275</v>
      </c>
      <c r="J209" s="21">
        <f t="shared" si="4"/>
        <v>33.513823442717616</v>
      </c>
    </row>
    <row r="210" spans="1:10" ht="15" customHeight="1" x14ac:dyDescent="0.2">
      <c r="A210" t="s">
        <v>9</v>
      </c>
      <c r="B210" s="9" t="s">
        <v>55</v>
      </c>
      <c r="C210" s="7">
        <v>2.4700000000000002</v>
      </c>
      <c r="D210" s="7">
        <v>2.5299999999999998</v>
      </c>
      <c r="E210" s="7">
        <v>2.4500000000000002</v>
      </c>
      <c r="F210" s="7">
        <v>2.5299999999999998</v>
      </c>
      <c r="G210" s="3">
        <v>3463120</v>
      </c>
      <c r="H210" s="3">
        <v>2855.23</v>
      </c>
      <c r="I210" s="3">
        <v>1128548275</v>
      </c>
      <c r="J210" s="21">
        <f t="shared" si="4"/>
        <v>34.052198116496207</v>
      </c>
    </row>
    <row r="211" spans="1:10" ht="15" customHeight="1" x14ac:dyDescent="0.2">
      <c r="A211" t="s">
        <v>9</v>
      </c>
      <c r="B211" s="9" t="s">
        <v>54</v>
      </c>
      <c r="C211" s="7">
        <v>2.5</v>
      </c>
      <c r="D211" s="7">
        <v>2.5049999999999999</v>
      </c>
      <c r="E211" s="7">
        <v>2.42</v>
      </c>
      <c r="F211" s="7">
        <v>2.44</v>
      </c>
      <c r="G211" s="3">
        <v>3246009</v>
      </c>
      <c r="H211" s="3">
        <v>2753.66</v>
      </c>
      <c r="I211" s="3">
        <v>1128548275</v>
      </c>
      <c r="J211" s="21">
        <f t="shared" si="4"/>
        <v>32.840855100494366</v>
      </c>
    </row>
    <row r="212" spans="1:10" ht="15" customHeight="1" x14ac:dyDescent="0.2">
      <c r="A212" t="s">
        <v>9</v>
      </c>
      <c r="B212" s="9" t="s">
        <v>53</v>
      </c>
      <c r="C212" s="7">
        <v>2.46</v>
      </c>
      <c r="D212" s="7">
        <v>2.4950000000000001</v>
      </c>
      <c r="E212" s="7">
        <v>2.42</v>
      </c>
      <c r="F212" s="7">
        <v>2.4700000000000002</v>
      </c>
      <c r="G212" s="3">
        <v>3844996</v>
      </c>
      <c r="H212" s="3">
        <v>2787.51</v>
      </c>
      <c r="I212" s="3">
        <v>1128548275</v>
      </c>
      <c r="J212" s="21">
        <f t="shared" si="4"/>
        <v>33.244636105828313</v>
      </c>
    </row>
    <row r="213" spans="1:10" ht="15" customHeight="1" x14ac:dyDescent="0.2">
      <c r="A213" t="s">
        <v>9</v>
      </c>
      <c r="B213" s="9" t="s">
        <v>52</v>
      </c>
      <c r="C213" s="7">
        <v>2.5</v>
      </c>
      <c r="D213" s="7">
        <v>2.5049999999999999</v>
      </c>
      <c r="E213" s="7">
        <v>2.39</v>
      </c>
      <c r="F213" s="7">
        <v>2.44</v>
      </c>
      <c r="G213" s="3">
        <v>5448323</v>
      </c>
      <c r="H213" s="3">
        <v>2753.66</v>
      </c>
      <c r="I213" s="3">
        <v>1128548275</v>
      </c>
      <c r="J213" s="21">
        <f t="shared" si="4"/>
        <v>32.840855100494366</v>
      </c>
    </row>
    <row r="214" spans="1:10" ht="15" customHeight="1" x14ac:dyDescent="0.2">
      <c r="A214" t="s">
        <v>9</v>
      </c>
      <c r="B214" s="9" t="s">
        <v>51</v>
      </c>
      <c r="C214" s="7">
        <v>2.4</v>
      </c>
      <c r="D214" s="7">
        <v>2.46</v>
      </c>
      <c r="E214" s="7">
        <v>2.38</v>
      </c>
      <c r="F214" s="7">
        <v>2.4500000000000002</v>
      </c>
      <c r="G214" s="3">
        <v>2881964</v>
      </c>
      <c r="H214" s="3">
        <v>2764.94</v>
      </c>
      <c r="I214" s="3">
        <v>1128548275</v>
      </c>
      <c r="J214" s="21">
        <f t="shared" si="4"/>
        <v>32.975448768939017</v>
      </c>
    </row>
    <row r="215" spans="1:10" ht="15" customHeight="1" x14ac:dyDescent="0.2">
      <c r="A215" t="s">
        <v>9</v>
      </c>
      <c r="B215" s="9" t="s">
        <v>50</v>
      </c>
      <c r="C215" s="7">
        <v>2.4</v>
      </c>
      <c r="D215" s="7">
        <v>2.4</v>
      </c>
      <c r="E215" s="7">
        <v>2.33</v>
      </c>
      <c r="F215" s="7">
        <v>2.34</v>
      </c>
      <c r="G215" s="3">
        <v>3413532</v>
      </c>
      <c r="H215" s="3">
        <v>2640.8</v>
      </c>
      <c r="I215" s="3">
        <v>1128548275</v>
      </c>
      <c r="J215" s="21">
        <f t="shared" si="4"/>
        <v>31.494918416047874</v>
      </c>
    </row>
    <row r="216" spans="1:10" ht="15" customHeight="1" x14ac:dyDescent="0.2">
      <c r="A216" t="s">
        <v>9</v>
      </c>
      <c r="B216" s="9" t="s">
        <v>49</v>
      </c>
      <c r="C216" s="7">
        <v>2.34</v>
      </c>
      <c r="D216" s="7">
        <v>2.36</v>
      </c>
      <c r="E216" s="7">
        <v>2.2999999999999998</v>
      </c>
      <c r="F216" s="7">
        <v>2.3199999999999998</v>
      </c>
      <c r="G216" s="3">
        <v>2755834</v>
      </c>
      <c r="H216" s="3">
        <v>2618.23</v>
      </c>
      <c r="I216" s="3">
        <v>1128548275</v>
      </c>
      <c r="J216" s="21">
        <f t="shared" si="4"/>
        <v>31.225731079158574</v>
      </c>
    </row>
    <row r="217" spans="1:10" ht="15" customHeight="1" x14ac:dyDescent="0.2">
      <c r="A217" t="s">
        <v>9</v>
      </c>
      <c r="B217" s="9" t="s">
        <v>48</v>
      </c>
      <c r="C217" s="7">
        <v>2.2999999999999998</v>
      </c>
      <c r="D217" s="7">
        <v>2.31</v>
      </c>
      <c r="E217" s="7">
        <v>2.25</v>
      </c>
      <c r="F217" s="7">
        <v>2.2599999999999998</v>
      </c>
      <c r="G217" s="3">
        <v>1899409</v>
      </c>
      <c r="H217" s="3">
        <v>2550.52</v>
      </c>
      <c r="I217" s="3">
        <v>1128548275</v>
      </c>
      <c r="J217" s="21">
        <f t="shared" si="4"/>
        <v>30.41816906849068</v>
      </c>
    </row>
    <row r="218" spans="1:10" ht="15" customHeight="1" x14ac:dyDescent="0.2">
      <c r="A218" t="s">
        <v>9</v>
      </c>
      <c r="B218" s="9" t="s">
        <v>47</v>
      </c>
      <c r="C218" s="7">
        <v>2.2599999999999998</v>
      </c>
      <c r="D218" s="7">
        <v>2.2999999999999998</v>
      </c>
      <c r="E218" s="7">
        <v>2.19</v>
      </c>
      <c r="F218" s="7">
        <v>2.23</v>
      </c>
      <c r="G218" s="3">
        <v>3603986</v>
      </c>
      <c r="H218" s="3">
        <v>2516.66</v>
      </c>
      <c r="I218" s="3">
        <v>1128548275</v>
      </c>
      <c r="J218" s="21">
        <f t="shared" si="4"/>
        <v>30.014388063156733</v>
      </c>
    </row>
    <row r="219" spans="1:10" ht="15" customHeight="1" x14ac:dyDescent="0.2">
      <c r="A219" t="s">
        <v>9</v>
      </c>
      <c r="B219" s="9" t="s">
        <v>46</v>
      </c>
      <c r="C219" s="7">
        <v>2.17</v>
      </c>
      <c r="D219" s="7">
        <v>2.17</v>
      </c>
      <c r="E219" s="7">
        <v>2.09</v>
      </c>
      <c r="F219" s="7">
        <v>2.14</v>
      </c>
      <c r="G219" s="3">
        <v>7539723</v>
      </c>
      <c r="H219" s="3">
        <v>2415.09</v>
      </c>
      <c r="I219" s="3">
        <v>1128548275</v>
      </c>
      <c r="J219" s="21">
        <f t="shared" si="4"/>
        <v>28.803045047154896</v>
      </c>
    </row>
    <row r="220" spans="1:10" ht="15" customHeight="1" x14ac:dyDescent="0.2">
      <c r="A220" t="s">
        <v>9</v>
      </c>
      <c r="B220" s="9" t="s">
        <v>45</v>
      </c>
      <c r="C220" s="7">
        <v>2.19</v>
      </c>
      <c r="D220" s="7">
        <v>2.2599999999999998</v>
      </c>
      <c r="E220" s="7">
        <v>2.1749999999999998</v>
      </c>
      <c r="F220" s="7">
        <v>2.2400000000000002</v>
      </c>
      <c r="G220" s="3">
        <v>6161301</v>
      </c>
      <c r="H220" s="3">
        <v>2527.9499999999998</v>
      </c>
      <c r="I220" s="3">
        <v>1128548275</v>
      </c>
      <c r="J220" s="21">
        <f t="shared" si="4"/>
        <v>30.148981731601388</v>
      </c>
    </row>
    <row r="221" spans="1:10" ht="15" customHeight="1" x14ac:dyDescent="0.2">
      <c r="A221" t="s">
        <v>9</v>
      </c>
      <c r="B221" s="9" t="s">
        <v>44</v>
      </c>
      <c r="C221" s="7">
        <v>2.23</v>
      </c>
      <c r="D221" s="7">
        <v>2.35</v>
      </c>
      <c r="E221" s="7">
        <v>2.23</v>
      </c>
      <c r="F221" s="7">
        <v>2.33</v>
      </c>
      <c r="G221" s="3">
        <v>4492287</v>
      </c>
      <c r="H221" s="3">
        <v>2629.52</v>
      </c>
      <c r="I221" s="3">
        <v>1128548275</v>
      </c>
      <c r="J221" s="21">
        <f t="shared" si="4"/>
        <v>31.360324747603226</v>
      </c>
    </row>
    <row r="222" spans="1:10" ht="15" customHeight="1" x14ac:dyDescent="0.2">
      <c r="A222" t="s">
        <v>9</v>
      </c>
      <c r="B222" s="9" t="s">
        <v>43</v>
      </c>
      <c r="C222" s="7">
        <v>2.2400000000000002</v>
      </c>
      <c r="D222" s="7">
        <v>2.31</v>
      </c>
      <c r="E222" s="7">
        <v>2.2000000000000002</v>
      </c>
      <c r="F222" s="7">
        <v>2.2999999999999998</v>
      </c>
      <c r="G222" s="3">
        <v>7894703</v>
      </c>
      <c r="H222" s="3">
        <v>2595.66</v>
      </c>
      <c r="I222" s="3">
        <v>1128548275</v>
      </c>
      <c r="J222" s="21">
        <f t="shared" si="4"/>
        <v>30.956543742269275</v>
      </c>
    </row>
    <row r="223" spans="1:10" ht="15" customHeight="1" x14ac:dyDescent="0.2">
      <c r="A223" t="s">
        <v>9</v>
      </c>
      <c r="B223" s="9" t="s">
        <v>42</v>
      </c>
      <c r="C223" s="7">
        <v>2.2799999999999998</v>
      </c>
      <c r="D223" s="7">
        <v>2.335</v>
      </c>
      <c r="E223" s="7">
        <v>2.2599999999999998</v>
      </c>
      <c r="F223" s="7">
        <v>2.2999999999999998</v>
      </c>
      <c r="G223" s="3">
        <v>5404955</v>
      </c>
      <c r="H223" s="3">
        <v>2595.66</v>
      </c>
      <c r="I223" s="3">
        <v>1128548275</v>
      </c>
      <c r="J223" s="21">
        <f t="shared" si="4"/>
        <v>30.956543742269275</v>
      </c>
    </row>
    <row r="224" spans="1:10" ht="15" customHeight="1" x14ac:dyDescent="0.2">
      <c r="A224" t="s">
        <v>9</v>
      </c>
      <c r="B224" s="9" t="s">
        <v>41</v>
      </c>
      <c r="C224" s="7">
        <v>2.2799999999999998</v>
      </c>
      <c r="D224" s="7">
        <v>2.29</v>
      </c>
      <c r="E224" s="7">
        <v>2.21</v>
      </c>
      <c r="F224" s="7">
        <v>2.23</v>
      </c>
      <c r="G224" s="3">
        <v>4158116</v>
      </c>
      <c r="H224" s="3">
        <v>2516.66</v>
      </c>
      <c r="I224" s="3">
        <v>1128548275</v>
      </c>
      <c r="J224" s="21">
        <f t="shared" si="4"/>
        <v>30.014388063156733</v>
      </c>
    </row>
    <row r="225" spans="1:10" ht="15" customHeight="1" x14ac:dyDescent="0.2">
      <c r="A225" t="s">
        <v>9</v>
      </c>
      <c r="B225" s="9" t="s">
        <v>40</v>
      </c>
      <c r="C225" s="7">
        <v>2.2999999999999998</v>
      </c>
      <c r="D225" s="7">
        <v>2.31</v>
      </c>
      <c r="E225" s="7">
        <v>2.2400000000000002</v>
      </c>
      <c r="F225" s="7">
        <v>2.27</v>
      </c>
      <c r="G225" s="3">
        <v>2173065</v>
      </c>
      <c r="H225" s="3">
        <v>2561.8000000000002</v>
      </c>
      <c r="I225" s="3">
        <v>1128548275</v>
      </c>
      <c r="J225" s="21">
        <f t="shared" si="4"/>
        <v>30.552762736935332</v>
      </c>
    </row>
    <row r="226" spans="1:10" ht="15" customHeight="1" x14ac:dyDescent="0.2">
      <c r="A226" t="s">
        <v>9</v>
      </c>
      <c r="B226" s="9" t="s">
        <v>39</v>
      </c>
      <c r="C226" s="7">
        <v>2.27</v>
      </c>
      <c r="D226" s="7">
        <v>2.36</v>
      </c>
      <c r="E226" s="7">
        <v>2.2599999999999998</v>
      </c>
      <c r="F226" s="7">
        <v>2.31</v>
      </c>
      <c r="G226" s="3">
        <v>3595353</v>
      </c>
      <c r="H226" s="3">
        <v>2606.9499999999998</v>
      </c>
      <c r="I226" s="3">
        <v>1128548275</v>
      </c>
      <c r="J226" s="21">
        <f t="shared" si="4"/>
        <v>31.091137410713927</v>
      </c>
    </row>
    <row r="227" spans="1:10" ht="15" customHeight="1" x14ac:dyDescent="0.2">
      <c r="A227" t="s">
        <v>9</v>
      </c>
      <c r="B227" s="9" t="s">
        <v>38</v>
      </c>
      <c r="C227" s="7">
        <v>2.34</v>
      </c>
      <c r="D227" s="7">
        <v>2.4500000000000002</v>
      </c>
      <c r="E227" s="7">
        <v>2.34</v>
      </c>
      <c r="F227" s="7">
        <v>2.42</v>
      </c>
      <c r="G227" s="3">
        <v>3618639</v>
      </c>
      <c r="H227" s="3">
        <v>2731.09</v>
      </c>
      <c r="I227" s="3">
        <v>1128548275</v>
      </c>
      <c r="J227" s="21">
        <f t="shared" si="4"/>
        <v>32.571667763605063</v>
      </c>
    </row>
    <row r="228" spans="1:10" ht="15" customHeight="1" x14ac:dyDescent="0.2">
      <c r="A228" t="s">
        <v>9</v>
      </c>
      <c r="B228" s="9" t="s">
        <v>37</v>
      </c>
      <c r="C228" s="7">
        <v>2.46</v>
      </c>
      <c r="D228" s="7">
        <v>2.5</v>
      </c>
      <c r="E228" s="7">
        <v>2.4550000000000001</v>
      </c>
      <c r="F228" s="7">
        <v>2.4700000000000002</v>
      </c>
      <c r="G228" s="3">
        <v>3400882</v>
      </c>
      <c r="H228" s="3">
        <v>2787.51</v>
      </c>
      <c r="I228" s="3">
        <v>1128548275</v>
      </c>
      <c r="J228" s="21">
        <f t="shared" si="4"/>
        <v>33.244636105828313</v>
      </c>
    </row>
    <row r="229" spans="1:10" ht="15" customHeight="1" x14ac:dyDescent="0.2">
      <c r="A229" t="s">
        <v>9</v>
      </c>
      <c r="B229" s="9" t="s">
        <v>36</v>
      </c>
      <c r="C229" s="7">
        <v>2.5</v>
      </c>
      <c r="D229" s="7">
        <v>2.5</v>
      </c>
      <c r="E229" s="7">
        <v>2.46</v>
      </c>
      <c r="F229" s="7">
        <v>2.48</v>
      </c>
      <c r="G229" s="3">
        <v>2735831</v>
      </c>
      <c r="H229" s="3">
        <v>2798.8</v>
      </c>
      <c r="I229" s="3">
        <v>1128548275</v>
      </c>
      <c r="J229" s="21">
        <f t="shared" si="4"/>
        <v>33.379229774272964</v>
      </c>
    </row>
    <row r="230" spans="1:10" ht="15" customHeight="1" x14ac:dyDescent="0.2">
      <c r="A230" t="s">
        <v>9</v>
      </c>
      <c r="B230" s="9" t="s">
        <v>35</v>
      </c>
      <c r="C230" s="7">
        <v>2.5</v>
      </c>
      <c r="D230" s="7">
        <v>2.5299999999999998</v>
      </c>
      <c r="E230" s="7">
        <v>2.4900000000000002</v>
      </c>
      <c r="F230" s="7">
        <v>2.5</v>
      </c>
      <c r="G230" s="3">
        <v>2470390</v>
      </c>
      <c r="H230" s="3">
        <v>2821.37</v>
      </c>
      <c r="I230" s="3">
        <v>1128548275</v>
      </c>
      <c r="J230" s="21">
        <f t="shared" si="4"/>
        <v>33.64841711116226</v>
      </c>
    </row>
    <row r="231" spans="1:10" ht="15" customHeight="1" x14ac:dyDescent="0.2">
      <c r="A231" t="s">
        <v>9</v>
      </c>
      <c r="B231" s="9" t="s">
        <v>34</v>
      </c>
      <c r="C231" s="7">
        <v>2.5299999999999998</v>
      </c>
      <c r="D231" s="7">
        <v>2.54</v>
      </c>
      <c r="E231" s="7">
        <v>2.4500000000000002</v>
      </c>
      <c r="F231" s="7">
        <v>2.48</v>
      </c>
      <c r="G231" s="3">
        <v>7990298</v>
      </c>
      <c r="H231" s="3">
        <v>2798.8</v>
      </c>
      <c r="I231" s="3">
        <v>1128548275</v>
      </c>
      <c r="J231" s="21">
        <f t="shared" si="4"/>
        <v>33.379229774272964</v>
      </c>
    </row>
    <row r="232" spans="1:10" ht="15" customHeight="1" x14ac:dyDescent="0.2">
      <c r="A232" t="s">
        <v>9</v>
      </c>
      <c r="B232" s="9" t="s">
        <v>33</v>
      </c>
      <c r="C232" s="7">
        <v>2.44</v>
      </c>
      <c r="D232" s="7">
        <v>2.4700000000000002</v>
      </c>
      <c r="E232" s="7">
        <v>2.41</v>
      </c>
      <c r="F232" s="7">
        <v>2.4300000000000002</v>
      </c>
      <c r="G232" s="3">
        <v>2980772</v>
      </c>
      <c r="H232" s="3">
        <v>2742.37</v>
      </c>
      <c r="I232" s="3">
        <v>1128548275</v>
      </c>
      <c r="J232" s="21">
        <f t="shared" si="4"/>
        <v>32.706261432049715</v>
      </c>
    </row>
    <row r="233" spans="1:10" ht="15" customHeight="1" x14ac:dyDescent="0.2">
      <c r="A233" t="s">
        <v>9</v>
      </c>
      <c r="B233" s="9" t="s">
        <v>32</v>
      </c>
      <c r="C233" s="7">
        <v>2.5099999999999998</v>
      </c>
      <c r="D233" s="7">
        <v>2.5550000000000002</v>
      </c>
      <c r="E233" s="7">
        <v>2.5099999999999998</v>
      </c>
      <c r="F233" s="7">
        <v>2.52</v>
      </c>
      <c r="G233" s="3">
        <v>2542109</v>
      </c>
      <c r="H233" s="3">
        <v>2843.94</v>
      </c>
      <c r="I233" s="3">
        <v>1128548275</v>
      </c>
      <c r="J233" s="21">
        <f t="shared" si="4"/>
        <v>33.917604448051556</v>
      </c>
    </row>
    <row r="234" spans="1:10" ht="15" customHeight="1" x14ac:dyDescent="0.2">
      <c r="A234" t="s">
        <v>9</v>
      </c>
      <c r="B234" s="9" t="s">
        <v>31</v>
      </c>
      <c r="C234" s="7">
        <v>2.54</v>
      </c>
      <c r="D234" s="7">
        <v>2.58</v>
      </c>
      <c r="E234" s="7">
        <v>2.52</v>
      </c>
      <c r="F234" s="7">
        <v>2.52</v>
      </c>
      <c r="G234" s="3">
        <v>2182596</v>
      </c>
      <c r="H234" s="3">
        <v>2843.94</v>
      </c>
      <c r="I234" s="3">
        <v>1128548275</v>
      </c>
      <c r="J234" s="21">
        <f t="shared" si="4"/>
        <v>33.917604448051556</v>
      </c>
    </row>
    <row r="235" spans="1:10" ht="15" customHeight="1" x14ac:dyDescent="0.2">
      <c r="A235" t="s">
        <v>9</v>
      </c>
      <c r="B235" s="9" t="s">
        <v>30</v>
      </c>
      <c r="C235" s="7">
        <v>2.52</v>
      </c>
      <c r="D235" s="7">
        <v>2.54</v>
      </c>
      <c r="E235" s="7">
        <v>2.48</v>
      </c>
      <c r="F235" s="7">
        <v>2.5299999999999998</v>
      </c>
      <c r="G235" s="3">
        <v>1871621</v>
      </c>
      <c r="H235" s="3">
        <v>2855.23</v>
      </c>
      <c r="I235" s="3">
        <v>1128548275</v>
      </c>
      <c r="J235" s="21">
        <f t="shared" si="4"/>
        <v>34.052198116496207</v>
      </c>
    </row>
    <row r="236" spans="1:10" ht="15" customHeight="1" x14ac:dyDescent="0.2">
      <c r="A236" t="s">
        <v>9</v>
      </c>
      <c r="B236" s="9" t="s">
        <v>29</v>
      </c>
      <c r="C236" s="7">
        <v>2.5299999999999998</v>
      </c>
      <c r="D236" s="7">
        <v>2.56</v>
      </c>
      <c r="E236" s="7">
        <v>2.4649999999999999</v>
      </c>
      <c r="F236" s="7">
        <v>2.4900000000000002</v>
      </c>
      <c r="G236" s="3">
        <v>1854496</v>
      </c>
      <c r="H236" s="3">
        <v>2810.09</v>
      </c>
      <c r="I236" s="3">
        <v>1128548275</v>
      </c>
      <c r="J236" s="21">
        <f t="shared" si="4"/>
        <v>33.513823442717616</v>
      </c>
    </row>
    <row r="237" spans="1:10" ht="15" customHeight="1" x14ac:dyDescent="0.2">
      <c r="A237" t="s">
        <v>9</v>
      </c>
      <c r="B237" s="9" t="s">
        <v>28</v>
      </c>
      <c r="C237" s="7">
        <v>2.4900000000000002</v>
      </c>
      <c r="D237" s="7">
        <v>2.5</v>
      </c>
      <c r="E237" s="7">
        <v>2.4300000000000002</v>
      </c>
      <c r="F237" s="7">
        <v>2.4300000000000002</v>
      </c>
      <c r="G237" s="3">
        <v>3434680</v>
      </c>
      <c r="H237" s="3">
        <v>2742.37</v>
      </c>
      <c r="I237" s="3">
        <v>1128548275</v>
      </c>
      <c r="J237" s="21">
        <f t="shared" si="4"/>
        <v>32.706261432049715</v>
      </c>
    </row>
    <row r="238" spans="1:10" ht="15" customHeight="1" x14ac:dyDescent="0.2">
      <c r="A238" t="s">
        <v>9</v>
      </c>
      <c r="B238" s="9" t="s">
        <v>27</v>
      </c>
      <c r="C238" s="7">
        <v>2.44</v>
      </c>
      <c r="D238" s="7">
        <v>2.46</v>
      </c>
      <c r="E238" s="7">
        <v>2.4</v>
      </c>
      <c r="F238" s="7">
        <v>2.41</v>
      </c>
      <c r="G238" s="3">
        <v>2193567</v>
      </c>
      <c r="H238" s="3">
        <v>2719.8</v>
      </c>
      <c r="I238" s="3">
        <v>1128548275</v>
      </c>
      <c r="J238" s="21">
        <f t="shared" si="4"/>
        <v>32.437074095160419</v>
      </c>
    </row>
    <row r="239" spans="1:10" ht="15" customHeight="1" x14ac:dyDescent="0.2">
      <c r="A239" t="s">
        <v>9</v>
      </c>
      <c r="B239" s="9" t="s">
        <v>26</v>
      </c>
      <c r="C239" s="7">
        <v>2.4900000000000002</v>
      </c>
      <c r="D239" s="7">
        <v>2.63</v>
      </c>
      <c r="E239" s="7">
        <v>2.4500000000000002</v>
      </c>
      <c r="F239" s="7">
        <v>2.63</v>
      </c>
      <c r="G239" s="3">
        <v>4855019</v>
      </c>
      <c r="H239" s="3">
        <v>2968.08</v>
      </c>
      <c r="I239" s="3">
        <v>1128548275</v>
      </c>
      <c r="J239" s="21">
        <f t="shared" si="4"/>
        <v>35.398134800942692</v>
      </c>
    </row>
    <row r="240" spans="1:10" ht="15" customHeight="1" x14ac:dyDescent="0.2">
      <c r="A240" t="s">
        <v>9</v>
      </c>
      <c r="B240" s="9" t="s">
        <v>25</v>
      </c>
      <c r="C240" s="7">
        <v>2.61</v>
      </c>
      <c r="D240" s="7">
        <v>2.68</v>
      </c>
      <c r="E240" s="7">
        <v>2.57</v>
      </c>
      <c r="F240" s="7">
        <v>2.62</v>
      </c>
      <c r="G240" s="3">
        <v>3017244</v>
      </c>
      <c r="H240" s="3">
        <v>2956.8</v>
      </c>
      <c r="I240" s="3">
        <v>1128548275</v>
      </c>
      <c r="J240" s="21">
        <f t="shared" si="4"/>
        <v>35.263541132498048</v>
      </c>
    </row>
    <row r="241" spans="1:10" ht="15" customHeight="1" x14ac:dyDescent="0.2">
      <c r="A241" t="s">
        <v>9</v>
      </c>
      <c r="B241" s="9" t="s">
        <v>24</v>
      </c>
      <c r="C241" s="7">
        <v>2.59</v>
      </c>
      <c r="D241" s="7">
        <v>2.69</v>
      </c>
      <c r="E241" s="7">
        <v>2.59</v>
      </c>
      <c r="F241" s="7">
        <v>2.67</v>
      </c>
      <c r="G241" s="3">
        <v>1705258</v>
      </c>
      <c r="H241" s="3">
        <v>3013.54</v>
      </c>
      <c r="I241" s="3">
        <v>1128664943</v>
      </c>
      <c r="J241" s="21">
        <f t="shared" si="4"/>
        <v>35.936509474721291</v>
      </c>
    </row>
    <row r="242" spans="1:10" ht="15" customHeight="1" x14ac:dyDescent="0.2">
      <c r="A242" t="s">
        <v>9</v>
      </c>
      <c r="B242" s="9" t="s">
        <v>23</v>
      </c>
      <c r="C242" s="7">
        <v>2.75</v>
      </c>
      <c r="D242" s="7">
        <v>2.8149999999999999</v>
      </c>
      <c r="E242" s="7">
        <v>2.7</v>
      </c>
      <c r="F242" s="7">
        <v>2.74</v>
      </c>
      <c r="G242" s="3">
        <v>3622908</v>
      </c>
      <c r="H242" s="3">
        <v>3092.54</v>
      </c>
      <c r="I242" s="3">
        <v>1128664943</v>
      </c>
      <c r="J242" s="21">
        <f t="shared" si="4"/>
        <v>36.878665153833836</v>
      </c>
    </row>
    <row r="243" spans="1:10" ht="15" customHeight="1" x14ac:dyDescent="0.2">
      <c r="A243" t="s">
        <v>9</v>
      </c>
      <c r="B243" s="9" t="s">
        <v>22</v>
      </c>
      <c r="C243" s="7">
        <v>2.76</v>
      </c>
      <c r="D243" s="7">
        <v>2.8</v>
      </c>
      <c r="E243" s="7">
        <v>2.7349999999999999</v>
      </c>
      <c r="F243" s="7">
        <v>2.77</v>
      </c>
      <c r="G243" s="3">
        <v>2566892</v>
      </c>
      <c r="H243" s="3">
        <v>3126.4</v>
      </c>
      <c r="I243" s="3">
        <v>1128664943</v>
      </c>
      <c r="J243" s="21">
        <f t="shared" si="4"/>
        <v>37.282446159167783</v>
      </c>
    </row>
    <row r="244" spans="1:10" ht="15" customHeight="1" x14ac:dyDescent="0.2">
      <c r="A244" t="s">
        <v>9</v>
      </c>
      <c r="B244" s="9" t="s">
        <v>21</v>
      </c>
      <c r="C244" s="7">
        <v>2.85</v>
      </c>
      <c r="D244" s="7">
        <v>2.85</v>
      </c>
      <c r="E244" s="7">
        <v>2.74</v>
      </c>
      <c r="F244" s="7">
        <v>2.74</v>
      </c>
      <c r="G244" s="3">
        <v>1646526</v>
      </c>
      <c r="H244" s="3">
        <v>3092.54</v>
      </c>
      <c r="I244" s="3">
        <v>1128664943</v>
      </c>
      <c r="J244" s="21">
        <f t="shared" si="4"/>
        <v>36.878665153833836</v>
      </c>
    </row>
    <row r="245" spans="1:10" ht="15" customHeight="1" x14ac:dyDescent="0.2">
      <c r="A245" t="s">
        <v>9</v>
      </c>
      <c r="B245" s="9" t="s">
        <v>20</v>
      </c>
      <c r="C245" s="7">
        <v>2.73</v>
      </c>
      <c r="D245" s="7">
        <v>2.73</v>
      </c>
      <c r="E245" s="7">
        <v>2.66</v>
      </c>
      <c r="F245" s="7">
        <v>2.71</v>
      </c>
      <c r="G245" s="3">
        <v>3944280</v>
      </c>
      <c r="H245" s="3">
        <v>3058.68</v>
      </c>
      <c r="I245" s="3">
        <v>1128664943</v>
      </c>
      <c r="J245" s="21">
        <f t="shared" si="4"/>
        <v>36.474884148499889</v>
      </c>
    </row>
    <row r="246" spans="1:10" ht="15" customHeight="1" x14ac:dyDescent="0.2">
      <c r="A246" t="s">
        <v>9</v>
      </c>
      <c r="B246" s="9" t="s">
        <v>19</v>
      </c>
      <c r="C246" s="7">
        <v>2.66</v>
      </c>
      <c r="D246" s="7">
        <v>2.67</v>
      </c>
      <c r="E246" s="7">
        <v>2.59</v>
      </c>
      <c r="F246" s="7">
        <v>2.61</v>
      </c>
      <c r="G246" s="3">
        <v>2127546</v>
      </c>
      <c r="H246" s="3">
        <v>2945.82</v>
      </c>
      <c r="I246" s="3">
        <v>1128664943</v>
      </c>
      <c r="J246" s="21">
        <f t="shared" si="4"/>
        <v>35.128947464053397</v>
      </c>
    </row>
    <row r="247" spans="1:10" ht="15" customHeight="1" x14ac:dyDescent="0.2">
      <c r="A247" t="s">
        <v>9</v>
      </c>
      <c r="B247" s="9" t="s">
        <v>18</v>
      </c>
      <c r="C247" s="7">
        <v>2.58</v>
      </c>
      <c r="D247" s="7">
        <v>2.64</v>
      </c>
      <c r="E247" s="7">
        <v>2.57</v>
      </c>
      <c r="F247" s="7">
        <v>2.63</v>
      </c>
      <c r="G247" s="3">
        <v>1753132</v>
      </c>
      <c r="H247" s="3">
        <v>2968.39</v>
      </c>
      <c r="I247" s="3">
        <v>1128664943</v>
      </c>
      <c r="J247" s="21">
        <f t="shared" si="4"/>
        <v>35.398134800942692</v>
      </c>
    </row>
    <row r="248" spans="1:10" ht="15" customHeight="1" x14ac:dyDescent="0.2">
      <c r="A248" t="s">
        <v>9</v>
      </c>
      <c r="B248" s="9" t="s">
        <v>17</v>
      </c>
      <c r="C248" s="7">
        <v>2.64</v>
      </c>
      <c r="D248" s="7">
        <v>2.66</v>
      </c>
      <c r="E248" s="7">
        <v>2.58</v>
      </c>
      <c r="F248" s="7">
        <v>2.59</v>
      </c>
      <c r="G248" s="3">
        <v>2262879</v>
      </c>
      <c r="H248" s="3">
        <v>2923.24</v>
      </c>
      <c r="I248" s="3">
        <v>1128664943</v>
      </c>
      <c r="J248" s="21">
        <f t="shared" si="4"/>
        <v>34.859760127164101</v>
      </c>
    </row>
    <row r="249" spans="1:10" ht="15" customHeight="1" x14ac:dyDescent="0.2">
      <c r="A249" t="s">
        <v>9</v>
      </c>
      <c r="B249" s="9" t="s">
        <v>16</v>
      </c>
      <c r="C249" s="7">
        <v>2.4900000000000002</v>
      </c>
      <c r="D249" s="7">
        <v>2.58</v>
      </c>
      <c r="E249" s="7">
        <v>2.48</v>
      </c>
      <c r="F249" s="7">
        <v>2.54</v>
      </c>
      <c r="G249" s="3">
        <v>3592555</v>
      </c>
      <c r="H249" s="3">
        <v>2866.81</v>
      </c>
      <c r="I249" s="3">
        <v>1128664943</v>
      </c>
      <c r="J249" s="21">
        <f t="shared" si="4"/>
        <v>34.186791784940858</v>
      </c>
    </row>
    <row r="250" spans="1:10" ht="15" customHeight="1" x14ac:dyDescent="0.2">
      <c r="A250" t="s">
        <v>9</v>
      </c>
      <c r="B250" s="9" t="s">
        <v>15</v>
      </c>
      <c r="C250" s="7">
        <v>2.5</v>
      </c>
      <c r="D250" s="7">
        <v>2.52</v>
      </c>
      <c r="E250" s="7">
        <v>2.4550000000000001</v>
      </c>
      <c r="F250" s="7">
        <v>2.5</v>
      </c>
      <c r="G250" s="3">
        <v>7772763</v>
      </c>
      <c r="H250" s="3">
        <v>2821.66</v>
      </c>
      <c r="I250" s="3">
        <v>1128664943</v>
      </c>
      <c r="J250" s="21">
        <f t="shared" si="4"/>
        <v>33.64841711116226</v>
      </c>
    </row>
    <row r="251" spans="1:10" ht="15" customHeight="1" x14ac:dyDescent="0.2">
      <c r="A251" t="s">
        <v>9</v>
      </c>
      <c r="B251" s="9" t="s">
        <v>14</v>
      </c>
      <c r="C251" s="7">
        <v>2.5099999999999998</v>
      </c>
      <c r="D251" s="7">
        <v>2.5649999999999999</v>
      </c>
      <c r="E251" s="7">
        <v>2.5</v>
      </c>
      <c r="F251" s="7">
        <v>2.54</v>
      </c>
      <c r="G251" s="3">
        <v>2001513</v>
      </c>
      <c r="H251" s="3">
        <v>2866.81</v>
      </c>
      <c r="I251" s="3">
        <v>1128664943</v>
      </c>
      <c r="J251" s="21">
        <f t="shared" si="4"/>
        <v>34.186791784940858</v>
      </c>
    </row>
    <row r="252" spans="1:10" ht="15" customHeight="1" x14ac:dyDescent="0.2">
      <c r="A252" t="s">
        <v>9</v>
      </c>
      <c r="B252" s="9" t="s">
        <v>13</v>
      </c>
      <c r="C252" s="7">
        <v>2.54</v>
      </c>
      <c r="D252" s="7">
        <v>2.57</v>
      </c>
      <c r="E252" s="7">
        <v>2.5</v>
      </c>
      <c r="F252" s="7">
        <v>2.5299999999999998</v>
      </c>
      <c r="G252" s="3">
        <v>835702</v>
      </c>
      <c r="H252" s="3">
        <v>2855.52</v>
      </c>
      <c r="I252" s="3">
        <v>1128664943</v>
      </c>
      <c r="J252" s="21">
        <f t="shared" si="4"/>
        <v>34.052198116496207</v>
      </c>
    </row>
    <row r="253" spans="1:10" ht="15" customHeight="1" x14ac:dyDescent="0.2">
      <c r="A253" t="s">
        <v>9</v>
      </c>
      <c r="B253" s="9" t="s">
        <v>12</v>
      </c>
      <c r="C253" s="7">
        <v>2.5299999999999998</v>
      </c>
      <c r="D253" s="7">
        <v>2.56</v>
      </c>
      <c r="E253" s="7">
        <v>2.5049999999999999</v>
      </c>
      <c r="F253" s="7">
        <v>2.5499999999999998</v>
      </c>
      <c r="G253" s="3">
        <v>1116586</v>
      </c>
      <c r="H253" s="3">
        <v>2878.1</v>
      </c>
      <c r="I253" s="3">
        <v>1128664943</v>
      </c>
      <c r="J253" s="21">
        <f t="shared" si="4"/>
        <v>34.321385453385503</v>
      </c>
    </row>
    <row r="254" spans="1:10" ht="15" customHeight="1" x14ac:dyDescent="0.2">
      <c r="A254" t="s">
        <v>9</v>
      </c>
      <c r="B254" s="9" t="s">
        <v>11</v>
      </c>
      <c r="C254" s="7">
        <v>2.52</v>
      </c>
      <c r="D254" s="7">
        <v>2.5499999999999998</v>
      </c>
      <c r="E254" s="7">
        <v>2.4900000000000002</v>
      </c>
      <c r="F254" s="7">
        <v>2.52</v>
      </c>
      <c r="G254" s="3">
        <v>1342113</v>
      </c>
      <c r="H254" s="3">
        <v>2844.24</v>
      </c>
      <c r="I254" s="3">
        <v>1128664943</v>
      </c>
      <c r="J254" s="21">
        <f t="shared" si="4"/>
        <v>33.917604448051556</v>
      </c>
    </row>
    <row r="255" spans="1:10" ht="15" customHeight="1" x14ac:dyDescent="0.2">
      <c r="A255" t="s">
        <v>9</v>
      </c>
      <c r="B255" s="9" t="s">
        <v>10</v>
      </c>
      <c r="C255" s="7">
        <v>2.4700000000000002</v>
      </c>
      <c r="D255" s="7">
        <v>2.48</v>
      </c>
      <c r="E255" s="7">
        <v>2.4350000000000001</v>
      </c>
      <c r="F255" s="7">
        <v>2.4700000000000002</v>
      </c>
      <c r="G255" s="3">
        <v>1376432</v>
      </c>
      <c r="H255" s="3">
        <v>2787.8</v>
      </c>
      <c r="I255" s="3">
        <v>1128664943</v>
      </c>
      <c r="J255" s="21">
        <f t="shared" si="4"/>
        <v>33.244636105828313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4574E-3943-AF48-AF93-F0472A511A10}">
  <dimension ref="A1:L255"/>
  <sheetViews>
    <sheetView topLeftCell="H8" zoomScale="171" workbookViewId="0">
      <selection activeCell="S19" sqref="S19"/>
    </sheetView>
  </sheetViews>
  <sheetFormatPr baseColWidth="10" defaultRowHeight="16" x14ac:dyDescent="0.2"/>
  <sheetData>
    <row r="1" spans="1:12" x14ac:dyDescent="0.2">
      <c r="A1" s="8" t="s">
        <v>1</v>
      </c>
      <c r="B1" s="6" t="s">
        <v>3</v>
      </c>
      <c r="C1" s="6" t="s">
        <v>4</v>
      </c>
      <c r="D1" s="6" t="s">
        <v>5</v>
      </c>
      <c r="E1" s="6" t="s">
        <v>271</v>
      </c>
      <c r="F1" s="6" t="s">
        <v>272</v>
      </c>
      <c r="G1" s="12">
        <v>1000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</row>
    <row r="2" spans="1:12" x14ac:dyDescent="0.2">
      <c r="A2" s="9" t="s">
        <v>263</v>
      </c>
      <c r="B2" s="7">
        <v>1.778</v>
      </c>
      <c r="C2" s="7">
        <v>1.7350000000000001</v>
      </c>
      <c r="D2" s="7">
        <v>1.74</v>
      </c>
      <c r="E2" s="13">
        <f>562*B2</f>
        <v>999.23599999999999</v>
      </c>
      <c r="F2" s="13">
        <v>1000</v>
      </c>
      <c r="H2" s="11" t="str">
        <f>A2</f>
        <v>02/01/2024</v>
      </c>
      <c r="I2" s="13">
        <f>D2</f>
        <v>1.74</v>
      </c>
      <c r="J2">
        <v>562</v>
      </c>
      <c r="K2" s="13">
        <f>J2*B2</f>
        <v>999.23599999999999</v>
      </c>
      <c r="L2" s="14">
        <f>G1-K2</f>
        <v>0.76400000000001</v>
      </c>
    </row>
    <row r="3" spans="1:12" x14ac:dyDescent="0.2">
      <c r="A3" s="9" t="s">
        <v>262</v>
      </c>
      <c r="B3" s="7">
        <v>1.72</v>
      </c>
      <c r="C3" s="7">
        <v>1.6850000000000001</v>
      </c>
      <c r="D3" s="7">
        <v>1.69</v>
      </c>
      <c r="E3" s="13">
        <f>562*D3</f>
        <v>949.78</v>
      </c>
      <c r="F3" s="13">
        <f>E3+L2</f>
        <v>950.54399999999998</v>
      </c>
    </row>
    <row r="4" spans="1:12" x14ac:dyDescent="0.2">
      <c r="A4" s="9" t="s">
        <v>261</v>
      </c>
      <c r="B4" s="7">
        <v>1.677</v>
      </c>
      <c r="C4" s="7">
        <v>1.615</v>
      </c>
      <c r="D4" s="7">
        <v>1.625</v>
      </c>
      <c r="E4" s="13">
        <f t="shared" ref="E4:E67" si="0">562*D4</f>
        <v>913.25</v>
      </c>
      <c r="F4" s="13">
        <f t="shared" ref="F4:F67" si="1">E4+L3</f>
        <v>913.25</v>
      </c>
    </row>
    <row r="5" spans="1:12" x14ac:dyDescent="0.2">
      <c r="A5" s="9" t="s">
        <v>260</v>
      </c>
      <c r="B5" s="7">
        <v>1.655</v>
      </c>
      <c r="C5" s="7">
        <v>1.62</v>
      </c>
      <c r="D5" s="7">
        <v>1.625</v>
      </c>
      <c r="E5" s="13">
        <f t="shared" si="0"/>
        <v>913.25</v>
      </c>
      <c r="F5" s="13">
        <f t="shared" si="1"/>
        <v>913.25</v>
      </c>
    </row>
    <row r="6" spans="1:12" x14ac:dyDescent="0.2">
      <c r="A6" s="9" t="s">
        <v>259</v>
      </c>
      <c r="B6" s="7">
        <v>1.63</v>
      </c>
      <c r="C6" s="7">
        <v>1.6</v>
      </c>
      <c r="D6" s="7">
        <v>1.63</v>
      </c>
      <c r="E6" s="13">
        <f t="shared" si="0"/>
        <v>916.06</v>
      </c>
      <c r="F6" s="13">
        <f t="shared" si="1"/>
        <v>916.06</v>
      </c>
    </row>
    <row r="7" spans="1:12" x14ac:dyDescent="0.2">
      <c r="A7" s="9" t="s">
        <v>258</v>
      </c>
      <c r="B7" s="7">
        <v>1.655</v>
      </c>
      <c r="C7" s="7">
        <v>1.6</v>
      </c>
      <c r="D7" s="7">
        <v>1.605</v>
      </c>
      <c r="E7" s="13">
        <f t="shared" si="0"/>
        <v>902.01</v>
      </c>
      <c r="F7" s="13">
        <f t="shared" si="1"/>
        <v>902.01</v>
      </c>
    </row>
    <row r="8" spans="1:12" x14ac:dyDescent="0.2">
      <c r="A8" s="9" t="s">
        <v>257</v>
      </c>
      <c r="B8" s="7">
        <v>1.61</v>
      </c>
      <c r="C8" s="7">
        <v>1.575</v>
      </c>
      <c r="D8" s="7">
        <v>1.59</v>
      </c>
      <c r="E8" s="13">
        <f t="shared" si="0"/>
        <v>893.58</v>
      </c>
      <c r="F8" s="13">
        <f t="shared" si="1"/>
        <v>893.58</v>
      </c>
    </row>
    <row r="9" spans="1:12" x14ac:dyDescent="0.2">
      <c r="A9" s="9" t="s">
        <v>256</v>
      </c>
      <c r="B9" s="7">
        <v>1.625</v>
      </c>
      <c r="C9" s="7">
        <v>1.56</v>
      </c>
      <c r="D9" s="7">
        <v>1.615</v>
      </c>
      <c r="E9" s="13">
        <f t="shared" si="0"/>
        <v>907.63</v>
      </c>
      <c r="F9" s="13">
        <f t="shared" si="1"/>
        <v>907.63</v>
      </c>
    </row>
    <row r="10" spans="1:12" x14ac:dyDescent="0.2">
      <c r="A10" s="9" t="s">
        <v>255</v>
      </c>
      <c r="B10" s="7">
        <v>1.625</v>
      </c>
      <c r="C10" s="7">
        <v>1.58</v>
      </c>
      <c r="D10" s="7">
        <v>1.62</v>
      </c>
      <c r="E10" s="13">
        <f t="shared" si="0"/>
        <v>910.44</v>
      </c>
      <c r="F10" s="13">
        <f t="shared" si="1"/>
        <v>910.44</v>
      </c>
    </row>
    <row r="11" spans="1:12" x14ac:dyDescent="0.2">
      <c r="A11" s="9" t="s">
        <v>254</v>
      </c>
      <c r="B11" s="7">
        <v>1.655</v>
      </c>
      <c r="C11" s="7">
        <v>1.617</v>
      </c>
      <c r="D11" s="7">
        <v>1.64</v>
      </c>
      <c r="E11" s="13">
        <f t="shared" si="0"/>
        <v>921.68</v>
      </c>
      <c r="F11" s="13">
        <f t="shared" si="1"/>
        <v>921.68</v>
      </c>
    </row>
    <row r="12" spans="1:12" x14ac:dyDescent="0.2">
      <c r="A12" s="9" t="s">
        <v>253</v>
      </c>
      <c r="B12" s="7">
        <v>1.665</v>
      </c>
      <c r="C12" s="7">
        <v>1.615</v>
      </c>
      <c r="D12" s="7">
        <v>1.65</v>
      </c>
      <c r="E12" s="13">
        <f t="shared" si="0"/>
        <v>927.3</v>
      </c>
      <c r="F12" s="13">
        <f t="shared" si="1"/>
        <v>927.3</v>
      </c>
    </row>
    <row r="13" spans="1:12" x14ac:dyDescent="0.2">
      <c r="A13" s="9" t="s">
        <v>252</v>
      </c>
      <c r="B13" s="7">
        <v>1.623</v>
      </c>
      <c r="C13" s="7">
        <v>1.575</v>
      </c>
      <c r="D13" s="7">
        <v>1.62</v>
      </c>
      <c r="E13" s="13">
        <f t="shared" si="0"/>
        <v>910.44</v>
      </c>
      <c r="F13" s="13">
        <f t="shared" si="1"/>
        <v>910.44</v>
      </c>
    </row>
    <row r="14" spans="1:12" x14ac:dyDescent="0.2">
      <c r="A14" s="9" t="s">
        <v>251</v>
      </c>
      <c r="B14" s="7">
        <v>1.617</v>
      </c>
      <c r="C14" s="7">
        <v>1.575</v>
      </c>
      <c r="D14" s="7">
        <v>1.59</v>
      </c>
      <c r="E14" s="13">
        <f t="shared" si="0"/>
        <v>893.58</v>
      </c>
      <c r="F14" s="13">
        <f t="shared" si="1"/>
        <v>893.58</v>
      </c>
    </row>
    <row r="15" spans="1:12" x14ac:dyDescent="0.2">
      <c r="A15" s="9" t="s">
        <v>250</v>
      </c>
      <c r="B15" s="7">
        <v>1.633</v>
      </c>
      <c r="C15" s="7">
        <v>1.59</v>
      </c>
      <c r="D15" s="7">
        <v>1.605</v>
      </c>
      <c r="E15" s="13">
        <f t="shared" si="0"/>
        <v>902.01</v>
      </c>
      <c r="F15" s="13">
        <f t="shared" si="1"/>
        <v>902.01</v>
      </c>
    </row>
    <row r="16" spans="1:12" x14ac:dyDescent="0.2">
      <c r="A16" s="9" t="s">
        <v>249</v>
      </c>
      <c r="B16" s="7">
        <v>1.625</v>
      </c>
      <c r="C16" s="7">
        <v>1.587</v>
      </c>
      <c r="D16" s="7">
        <v>1.605</v>
      </c>
      <c r="E16" s="13">
        <f t="shared" si="0"/>
        <v>902.01</v>
      </c>
      <c r="F16" s="13">
        <f t="shared" si="1"/>
        <v>902.01</v>
      </c>
    </row>
    <row r="17" spans="1:6" x14ac:dyDescent="0.2">
      <c r="A17" s="9" t="s">
        <v>248</v>
      </c>
      <c r="B17" s="7">
        <v>1.61</v>
      </c>
      <c r="C17" s="7">
        <v>1.52</v>
      </c>
      <c r="D17" s="7">
        <v>1.53</v>
      </c>
      <c r="E17" s="13">
        <f t="shared" si="0"/>
        <v>859.86</v>
      </c>
      <c r="F17" s="13">
        <f t="shared" si="1"/>
        <v>859.86</v>
      </c>
    </row>
    <row r="18" spans="1:6" x14ac:dyDescent="0.2">
      <c r="A18" s="9" t="s">
        <v>247</v>
      </c>
      <c r="B18" s="7">
        <v>1.62</v>
      </c>
      <c r="C18" s="7">
        <v>1.5149999999999999</v>
      </c>
      <c r="D18" s="7">
        <v>1.585</v>
      </c>
      <c r="E18" s="13">
        <f t="shared" si="0"/>
        <v>890.77</v>
      </c>
      <c r="F18" s="13">
        <f t="shared" si="1"/>
        <v>890.77</v>
      </c>
    </row>
    <row r="19" spans="1:6" x14ac:dyDescent="0.2">
      <c r="A19" s="9" t="s">
        <v>246</v>
      </c>
      <c r="B19" s="7">
        <v>1.593</v>
      </c>
      <c r="C19" s="7">
        <v>1.5449999999999999</v>
      </c>
      <c r="D19" s="7">
        <v>1.5649999999999999</v>
      </c>
      <c r="E19" s="13">
        <f t="shared" si="0"/>
        <v>879.53</v>
      </c>
      <c r="F19" s="13">
        <f t="shared" si="1"/>
        <v>879.53</v>
      </c>
    </row>
    <row r="20" spans="1:6" x14ac:dyDescent="0.2">
      <c r="A20" s="9" t="s">
        <v>245</v>
      </c>
      <c r="B20" s="7">
        <v>1.5649999999999999</v>
      </c>
      <c r="C20" s="7">
        <v>1.4850000000000001</v>
      </c>
      <c r="D20" s="7">
        <v>1.5549999999999999</v>
      </c>
      <c r="E20" s="13">
        <f t="shared" si="0"/>
        <v>873.91</v>
      </c>
      <c r="F20" s="13">
        <f t="shared" si="1"/>
        <v>873.91</v>
      </c>
    </row>
    <row r="21" spans="1:6" x14ac:dyDescent="0.2">
      <c r="A21" s="9" t="s">
        <v>244</v>
      </c>
      <c r="B21" s="7">
        <v>1.613</v>
      </c>
      <c r="C21" s="7">
        <v>1.5449999999999999</v>
      </c>
      <c r="D21" s="7">
        <v>1.6</v>
      </c>
      <c r="E21" s="13">
        <f t="shared" si="0"/>
        <v>899.2</v>
      </c>
      <c r="F21" s="13">
        <f t="shared" si="1"/>
        <v>899.2</v>
      </c>
    </row>
    <row r="22" spans="1:6" x14ac:dyDescent="0.2">
      <c r="A22" s="9" t="s">
        <v>243</v>
      </c>
      <c r="B22" s="7">
        <v>1.635</v>
      </c>
      <c r="C22" s="7">
        <v>1.5649999999999999</v>
      </c>
      <c r="D22" s="7">
        <v>1.625</v>
      </c>
      <c r="E22" s="13">
        <f t="shared" si="0"/>
        <v>913.25</v>
      </c>
      <c r="F22" s="13">
        <f t="shared" si="1"/>
        <v>913.25</v>
      </c>
    </row>
    <row r="23" spans="1:6" x14ac:dyDescent="0.2">
      <c r="A23" s="9" t="s">
        <v>242</v>
      </c>
      <c r="B23" s="7">
        <v>1.61</v>
      </c>
      <c r="C23" s="7">
        <v>1.5349999999999999</v>
      </c>
      <c r="D23" s="7">
        <v>1.605</v>
      </c>
      <c r="E23" s="13">
        <f t="shared" si="0"/>
        <v>902.01</v>
      </c>
      <c r="F23" s="13">
        <f t="shared" si="1"/>
        <v>902.01</v>
      </c>
    </row>
    <row r="24" spans="1:6" x14ac:dyDescent="0.2">
      <c r="A24" s="9" t="s">
        <v>241</v>
      </c>
      <c r="B24" s="7">
        <v>1.74</v>
      </c>
      <c r="C24" s="7">
        <v>1.66</v>
      </c>
      <c r="D24" s="7">
        <v>1.6950000000000001</v>
      </c>
      <c r="E24" s="13">
        <f t="shared" si="0"/>
        <v>952.59</v>
      </c>
      <c r="F24" s="13">
        <f t="shared" si="1"/>
        <v>952.59</v>
      </c>
    </row>
    <row r="25" spans="1:6" x14ac:dyDescent="0.2">
      <c r="A25" s="9" t="s">
        <v>240</v>
      </c>
      <c r="B25" s="7">
        <v>1.65</v>
      </c>
      <c r="C25" s="7">
        <v>1.585</v>
      </c>
      <c r="D25" s="7">
        <v>1.605</v>
      </c>
      <c r="E25" s="13">
        <f t="shared" si="0"/>
        <v>902.01</v>
      </c>
      <c r="F25" s="13">
        <f t="shared" si="1"/>
        <v>902.01</v>
      </c>
    </row>
    <row r="26" spans="1:6" x14ac:dyDescent="0.2">
      <c r="A26" s="9" t="s">
        <v>239</v>
      </c>
      <c r="B26" s="7">
        <v>1.62</v>
      </c>
      <c r="C26" s="7">
        <v>1.5649999999999999</v>
      </c>
      <c r="D26" s="7">
        <v>1.585</v>
      </c>
      <c r="E26" s="13">
        <f t="shared" si="0"/>
        <v>890.77</v>
      </c>
      <c r="F26" s="13">
        <f t="shared" si="1"/>
        <v>890.77</v>
      </c>
    </row>
    <row r="27" spans="1:6" x14ac:dyDescent="0.2">
      <c r="A27" s="9" t="s">
        <v>238</v>
      </c>
      <c r="B27" s="7">
        <v>1.607</v>
      </c>
      <c r="C27" s="7">
        <v>1.57</v>
      </c>
      <c r="D27" s="7">
        <v>1.605</v>
      </c>
      <c r="E27" s="13">
        <f t="shared" si="0"/>
        <v>902.01</v>
      </c>
      <c r="F27" s="13">
        <f t="shared" si="1"/>
        <v>902.01</v>
      </c>
    </row>
    <row r="28" spans="1:6" x14ac:dyDescent="0.2">
      <c r="A28" s="9" t="s">
        <v>237</v>
      </c>
      <c r="B28" s="7">
        <v>1.65</v>
      </c>
      <c r="C28" s="7">
        <v>1.587</v>
      </c>
      <c r="D28" s="7">
        <v>1.61</v>
      </c>
      <c r="E28" s="13">
        <f t="shared" si="0"/>
        <v>904.82</v>
      </c>
      <c r="F28" s="13">
        <f t="shared" si="1"/>
        <v>904.82</v>
      </c>
    </row>
    <row r="29" spans="1:6" x14ac:dyDescent="0.2">
      <c r="A29" s="9" t="s">
        <v>236</v>
      </c>
      <c r="B29" s="7">
        <v>1.605</v>
      </c>
      <c r="C29" s="7">
        <v>1.55</v>
      </c>
      <c r="D29" s="7">
        <v>1.56</v>
      </c>
      <c r="E29" s="13">
        <f t="shared" si="0"/>
        <v>876.72</v>
      </c>
      <c r="F29" s="13">
        <f t="shared" si="1"/>
        <v>876.72</v>
      </c>
    </row>
    <row r="30" spans="1:6" x14ac:dyDescent="0.2">
      <c r="A30" s="9" t="s">
        <v>235</v>
      </c>
      <c r="B30" s="7">
        <v>1.585</v>
      </c>
      <c r="C30" s="7">
        <v>1.54</v>
      </c>
      <c r="D30" s="7">
        <v>1.54</v>
      </c>
      <c r="E30" s="13">
        <f t="shared" si="0"/>
        <v>865.48</v>
      </c>
      <c r="F30" s="13">
        <f t="shared" si="1"/>
        <v>865.48</v>
      </c>
    </row>
    <row r="31" spans="1:6" x14ac:dyDescent="0.2">
      <c r="A31" s="9" t="s">
        <v>234</v>
      </c>
      <c r="B31" s="7">
        <v>1.605</v>
      </c>
      <c r="C31" s="7">
        <v>1.55</v>
      </c>
      <c r="D31" s="7">
        <v>1.57</v>
      </c>
      <c r="E31" s="13">
        <f t="shared" si="0"/>
        <v>882.34</v>
      </c>
      <c r="F31" s="13">
        <f t="shared" si="1"/>
        <v>882.34</v>
      </c>
    </row>
    <row r="32" spans="1:6" x14ac:dyDescent="0.2">
      <c r="A32" s="9" t="s">
        <v>233</v>
      </c>
      <c r="B32" s="7">
        <v>1.532</v>
      </c>
      <c r="C32" s="7">
        <v>1.4650000000000001</v>
      </c>
      <c r="D32" s="7">
        <v>1.52</v>
      </c>
      <c r="E32" s="13">
        <f t="shared" si="0"/>
        <v>854.24</v>
      </c>
      <c r="F32" s="13">
        <f t="shared" si="1"/>
        <v>854.24</v>
      </c>
    </row>
    <row r="33" spans="1:6" x14ac:dyDescent="0.2">
      <c r="A33" s="9" t="s">
        <v>232</v>
      </c>
      <c r="B33" s="7">
        <v>1.54</v>
      </c>
      <c r="C33" s="7">
        <v>1.5</v>
      </c>
      <c r="D33" s="7">
        <v>1.5049999999999999</v>
      </c>
      <c r="E33" s="13">
        <f t="shared" si="0"/>
        <v>845.81</v>
      </c>
      <c r="F33" s="13">
        <f t="shared" si="1"/>
        <v>845.81</v>
      </c>
    </row>
    <row r="34" spans="1:6" x14ac:dyDescent="0.2">
      <c r="A34" s="9" t="s">
        <v>231</v>
      </c>
      <c r="B34" s="7">
        <v>1.57</v>
      </c>
      <c r="C34" s="7">
        <v>1.5149999999999999</v>
      </c>
      <c r="D34" s="7">
        <v>1.5249999999999999</v>
      </c>
      <c r="E34" s="13">
        <f t="shared" si="0"/>
        <v>857.05</v>
      </c>
      <c r="F34" s="13">
        <f t="shared" si="1"/>
        <v>857.05</v>
      </c>
    </row>
    <row r="35" spans="1:6" x14ac:dyDescent="0.2">
      <c r="A35" s="9" t="s">
        <v>230</v>
      </c>
      <c r="B35" s="7">
        <v>1.53</v>
      </c>
      <c r="C35" s="7">
        <v>1.5049999999999999</v>
      </c>
      <c r="D35" s="7">
        <v>1.5249999999999999</v>
      </c>
      <c r="E35" s="13">
        <f t="shared" si="0"/>
        <v>857.05</v>
      </c>
      <c r="F35" s="13">
        <f t="shared" si="1"/>
        <v>857.05</v>
      </c>
    </row>
    <row r="36" spans="1:6" x14ac:dyDescent="0.2">
      <c r="A36" s="9" t="s">
        <v>229</v>
      </c>
      <c r="B36" s="7">
        <v>1.542</v>
      </c>
      <c r="C36" s="7">
        <v>1.51</v>
      </c>
      <c r="D36" s="7">
        <v>1.54</v>
      </c>
      <c r="E36" s="13">
        <f t="shared" si="0"/>
        <v>865.48</v>
      </c>
      <c r="F36" s="13">
        <f t="shared" si="1"/>
        <v>865.48</v>
      </c>
    </row>
    <row r="37" spans="1:6" x14ac:dyDescent="0.2">
      <c r="A37" s="9" t="s">
        <v>228</v>
      </c>
      <c r="B37" s="7">
        <v>1.595</v>
      </c>
      <c r="C37" s="7">
        <v>1.55</v>
      </c>
      <c r="D37" s="7">
        <v>1.5649999999999999</v>
      </c>
      <c r="E37" s="13">
        <f t="shared" si="0"/>
        <v>879.53</v>
      </c>
      <c r="F37" s="13">
        <f t="shared" si="1"/>
        <v>879.53</v>
      </c>
    </row>
    <row r="38" spans="1:6" x14ac:dyDescent="0.2">
      <c r="A38" s="9" t="s">
        <v>227</v>
      </c>
      <c r="B38" s="7">
        <v>1.57</v>
      </c>
      <c r="C38" s="7">
        <v>1.52</v>
      </c>
      <c r="D38" s="7">
        <v>1.5549999999999999</v>
      </c>
      <c r="E38" s="13">
        <f t="shared" si="0"/>
        <v>873.91</v>
      </c>
      <c r="F38" s="13">
        <f t="shared" si="1"/>
        <v>873.91</v>
      </c>
    </row>
    <row r="39" spans="1:6" x14ac:dyDescent="0.2">
      <c r="A39" s="9" t="s">
        <v>226</v>
      </c>
      <c r="B39" s="7">
        <v>1.5649999999999999</v>
      </c>
      <c r="C39" s="7">
        <v>1.54</v>
      </c>
      <c r="D39" s="7">
        <v>1.56</v>
      </c>
      <c r="E39" s="13">
        <f t="shared" si="0"/>
        <v>876.72</v>
      </c>
      <c r="F39" s="13">
        <f t="shared" si="1"/>
        <v>876.72</v>
      </c>
    </row>
    <row r="40" spans="1:6" x14ac:dyDescent="0.2">
      <c r="A40" s="9" t="s">
        <v>225</v>
      </c>
      <c r="B40" s="7">
        <v>1.625</v>
      </c>
      <c r="C40" s="7">
        <v>1.585</v>
      </c>
      <c r="D40" s="7">
        <v>1.61</v>
      </c>
      <c r="E40" s="13">
        <f t="shared" si="0"/>
        <v>904.82</v>
      </c>
      <c r="F40" s="13">
        <f t="shared" si="1"/>
        <v>904.82</v>
      </c>
    </row>
    <row r="41" spans="1:6" x14ac:dyDescent="0.2">
      <c r="A41" s="9" t="s">
        <v>224</v>
      </c>
      <c r="B41" s="7">
        <v>1.6</v>
      </c>
      <c r="C41" s="7">
        <v>1.52</v>
      </c>
      <c r="D41" s="7">
        <v>1.57</v>
      </c>
      <c r="E41" s="13">
        <f t="shared" si="0"/>
        <v>882.34</v>
      </c>
      <c r="F41" s="13">
        <f t="shared" si="1"/>
        <v>882.34</v>
      </c>
    </row>
    <row r="42" spans="1:6" x14ac:dyDescent="0.2">
      <c r="A42" s="9" t="s">
        <v>223</v>
      </c>
      <c r="B42" s="7">
        <v>1.615</v>
      </c>
      <c r="C42" s="7">
        <v>1.57</v>
      </c>
      <c r="D42" s="7">
        <v>1.575</v>
      </c>
      <c r="E42" s="13">
        <f t="shared" si="0"/>
        <v>885.15</v>
      </c>
      <c r="F42" s="13">
        <f t="shared" si="1"/>
        <v>885.15</v>
      </c>
    </row>
    <row r="43" spans="1:6" x14ac:dyDescent="0.2">
      <c r="A43" s="9" t="s">
        <v>222</v>
      </c>
      <c r="B43" s="7">
        <v>1.57</v>
      </c>
      <c r="C43" s="7">
        <v>1.48</v>
      </c>
      <c r="D43" s="7">
        <v>1.53</v>
      </c>
      <c r="E43" s="13">
        <f t="shared" si="0"/>
        <v>859.86</v>
      </c>
      <c r="F43" s="13">
        <f t="shared" si="1"/>
        <v>859.86</v>
      </c>
    </row>
    <row r="44" spans="1:6" x14ac:dyDescent="0.2">
      <c r="A44" s="9" t="s">
        <v>221</v>
      </c>
      <c r="B44" s="7">
        <v>1.58</v>
      </c>
      <c r="C44" s="7">
        <v>1.5449999999999999</v>
      </c>
      <c r="D44" s="7">
        <v>1.58</v>
      </c>
      <c r="E44" s="13">
        <f t="shared" si="0"/>
        <v>887.96</v>
      </c>
      <c r="F44" s="13">
        <f t="shared" si="1"/>
        <v>887.96</v>
      </c>
    </row>
    <row r="45" spans="1:6" x14ac:dyDescent="0.2">
      <c r="A45" s="9" t="s">
        <v>220</v>
      </c>
      <c r="B45" s="7">
        <v>1.72</v>
      </c>
      <c r="C45" s="7">
        <v>1.625</v>
      </c>
      <c r="D45" s="7">
        <v>1.7</v>
      </c>
      <c r="E45" s="13">
        <f t="shared" si="0"/>
        <v>955.4</v>
      </c>
      <c r="F45" s="13">
        <f t="shared" si="1"/>
        <v>955.4</v>
      </c>
    </row>
    <row r="46" spans="1:6" x14ac:dyDescent="0.2">
      <c r="A46" s="9" t="s">
        <v>219</v>
      </c>
      <c r="B46" s="7">
        <v>1.84</v>
      </c>
      <c r="C46" s="7">
        <v>1.7250000000000001</v>
      </c>
      <c r="D46" s="7">
        <v>1.825</v>
      </c>
      <c r="E46" s="13">
        <f t="shared" si="0"/>
        <v>1025.6499999999999</v>
      </c>
      <c r="F46" s="13">
        <f t="shared" si="1"/>
        <v>1025.6499999999999</v>
      </c>
    </row>
    <row r="47" spans="1:6" x14ac:dyDescent="0.2">
      <c r="A47" s="9" t="s">
        <v>218</v>
      </c>
      <c r="B47" s="7">
        <v>1.865</v>
      </c>
      <c r="C47" s="7">
        <v>1.82</v>
      </c>
      <c r="D47" s="7">
        <v>1.855</v>
      </c>
      <c r="E47" s="13">
        <f t="shared" si="0"/>
        <v>1042.51</v>
      </c>
      <c r="F47" s="13">
        <f t="shared" si="1"/>
        <v>1042.51</v>
      </c>
    </row>
    <row r="48" spans="1:6" x14ac:dyDescent="0.2">
      <c r="A48" s="9" t="s">
        <v>217</v>
      </c>
      <c r="B48" s="7">
        <v>1.9850000000000001</v>
      </c>
      <c r="C48" s="7">
        <v>1.875</v>
      </c>
      <c r="D48" s="7">
        <v>1.917</v>
      </c>
      <c r="E48" s="13">
        <f t="shared" si="0"/>
        <v>1077.354</v>
      </c>
      <c r="F48" s="13">
        <f t="shared" si="1"/>
        <v>1077.354</v>
      </c>
    </row>
    <row r="49" spans="1:6" x14ac:dyDescent="0.2">
      <c r="A49" s="9" t="s">
        <v>216</v>
      </c>
      <c r="B49" s="7">
        <v>1.92</v>
      </c>
      <c r="C49" s="7">
        <v>1.837</v>
      </c>
      <c r="D49" s="7">
        <v>1.86</v>
      </c>
      <c r="E49" s="13">
        <f t="shared" si="0"/>
        <v>1045.3200000000002</v>
      </c>
      <c r="F49" s="13">
        <f t="shared" si="1"/>
        <v>1045.3200000000002</v>
      </c>
    </row>
    <row r="50" spans="1:6" x14ac:dyDescent="0.2">
      <c r="A50" s="9" t="s">
        <v>215</v>
      </c>
      <c r="B50" s="7">
        <v>1.905</v>
      </c>
      <c r="C50" s="7">
        <v>1.84</v>
      </c>
      <c r="D50" s="7">
        <v>1.87</v>
      </c>
      <c r="E50" s="13">
        <f t="shared" si="0"/>
        <v>1050.94</v>
      </c>
      <c r="F50" s="13">
        <f t="shared" si="1"/>
        <v>1050.94</v>
      </c>
    </row>
    <row r="51" spans="1:6" x14ac:dyDescent="0.2">
      <c r="A51" s="9" t="s">
        <v>214</v>
      </c>
      <c r="B51" s="7">
        <v>1.915</v>
      </c>
      <c r="C51" s="7">
        <v>1.87</v>
      </c>
      <c r="D51" s="7">
        <v>1.895</v>
      </c>
      <c r="E51" s="13">
        <f t="shared" si="0"/>
        <v>1064.99</v>
      </c>
      <c r="F51" s="13">
        <f t="shared" si="1"/>
        <v>1064.99</v>
      </c>
    </row>
    <row r="52" spans="1:6" x14ac:dyDescent="0.2">
      <c r="A52" s="9" t="s">
        <v>213</v>
      </c>
      <c r="B52" s="7">
        <v>1.91</v>
      </c>
      <c r="C52" s="7">
        <v>1.837</v>
      </c>
      <c r="D52" s="7">
        <v>1.89</v>
      </c>
      <c r="E52" s="13">
        <f t="shared" si="0"/>
        <v>1062.1799999999998</v>
      </c>
      <c r="F52" s="13">
        <f t="shared" si="1"/>
        <v>1062.1799999999998</v>
      </c>
    </row>
    <row r="53" spans="1:6" x14ac:dyDescent="0.2">
      <c r="A53" s="9" t="s">
        <v>212</v>
      </c>
      <c r="B53" s="7">
        <v>1.95</v>
      </c>
      <c r="C53" s="7">
        <v>1.867</v>
      </c>
      <c r="D53" s="7">
        <v>1.895</v>
      </c>
      <c r="E53" s="13">
        <f t="shared" si="0"/>
        <v>1064.99</v>
      </c>
      <c r="F53" s="13">
        <f t="shared" si="1"/>
        <v>1064.99</v>
      </c>
    </row>
    <row r="54" spans="1:6" x14ac:dyDescent="0.2">
      <c r="A54" s="9" t="s">
        <v>211</v>
      </c>
      <c r="B54" s="7">
        <v>1.96</v>
      </c>
      <c r="C54" s="7">
        <v>1.885</v>
      </c>
      <c r="D54" s="7">
        <v>1.92</v>
      </c>
      <c r="E54" s="13">
        <f t="shared" si="0"/>
        <v>1079.04</v>
      </c>
      <c r="F54" s="13">
        <f t="shared" si="1"/>
        <v>1079.04</v>
      </c>
    </row>
    <row r="55" spans="1:6" x14ac:dyDescent="0.2">
      <c r="A55" s="9" t="s">
        <v>210</v>
      </c>
      <c r="B55" s="7">
        <v>1.92</v>
      </c>
      <c r="C55" s="7">
        <v>1.84</v>
      </c>
      <c r="D55" s="7">
        <v>1.865</v>
      </c>
      <c r="E55" s="13">
        <f t="shared" si="0"/>
        <v>1048.1299999999999</v>
      </c>
      <c r="F55" s="13">
        <f t="shared" si="1"/>
        <v>1048.1299999999999</v>
      </c>
    </row>
    <row r="56" spans="1:6" x14ac:dyDescent="0.2">
      <c r="A56" s="9" t="s">
        <v>209</v>
      </c>
      <c r="B56" s="7">
        <v>1.895</v>
      </c>
      <c r="C56" s="7">
        <v>1.843</v>
      </c>
      <c r="D56" s="7">
        <v>1.885</v>
      </c>
      <c r="E56" s="13">
        <f t="shared" si="0"/>
        <v>1059.3700000000001</v>
      </c>
      <c r="F56" s="13">
        <f t="shared" si="1"/>
        <v>1059.3700000000001</v>
      </c>
    </row>
    <row r="57" spans="1:6" x14ac:dyDescent="0.2">
      <c r="A57" s="9" t="s">
        <v>208</v>
      </c>
      <c r="B57" s="7">
        <v>1.885</v>
      </c>
      <c r="C57" s="7">
        <v>1.845</v>
      </c>
      <c r="D57" s="7">
        <v>1.88</v>
      </c>
      <c r="E57" s="13">
        <f t="shared" si="0"/>
        <v>1056.56</v>
      </c>
      <c r="F57" s="13">
        <f t="shared" si="1"/>
        <v>1056.56</v>
      </c>
    </row>
    <row r="58" spans="1:6" x14ac:dyDescent="0.2">
      <c r="A58" s="9" t="s">
        <v>207</v>
      </c>
      <c r="B58" s="7">
        <v>1.98</v>
      </c>
      <c r="C58" s="7">
        <v>1.9</v>
      </c>
      <c r="D58" s="7">
        <v>1.92</v>
      </c>
      <c r="E58" s="13">
        <f t="shared" si="0"/>
        <v>1079.04</v>
      </c>
      <c r="F58" s="13">
        <f t="shared" si="1"/>
        <v>1079.04</v>
      </c>
    </row>
    <row r="59" spans="1:6" x14ac:dyDescent="0.2">
      <c r="A59" s="9" t="s">
        <v>206</v>
      </c>
      <c r="B59" s="7">
        <v>1.835</v>
      </c>
      <c r="C59" s="7">
        <v>1.75</v>
      </c>
      <c r="D59" s="7">
        <v>1.8</v>
      </c>
      <c r="E59" s="13">
        <f t="shared" si="0"/>
        <v>1011.6</v>
      </c>
      <c r="F59" s="13">
        <f t="shared" si="1"/>
        <v>1011.6</v>
      </c>
    </row>
    <row r="60" spans="1:6" x14ac:dyDescent="0.2">
      <c r="A60" s="9" t="s">
        <v>205</v>
      </c>
      <c r="B60" s="7">
        <v>1.83</v>
      </c>
      <c r="C60" s="7">
        <v>1.74</v>
      </c>
      <c r="D60" s="7">
        <v>1.8</v>
      </c>
      <c r="E60" s="13">
        <f t="shared" si="0"/>
        <v>1011.6</v>
      </c>
      <c r="F60" s="13">
        <f t="shared" si="1"/>
        <v>1011.6</v>
      </c>
    </row>
    <row r="61" spans="1:6" x14ac:dyDescent="0.2">
      <c r="A61" s="9" t="s">
        <v>204</v>
      </c>
      <c r="B61" s="7">
        <v>1.853</v>
      </c>
      <c r="C61" s="7">
        <v>1.76</v>
      </c>
      <c r="D61" s="7">
        <v>1.76</v>
      </c>
      <c r="E61" s="13">
        <f t="shared" si="0"/>
        <v>989.12</v>
      </c>
      <c r="F61" s="13">
        <f t="shared" si="1"/>
        <v>989.12</v>
      </c>
    </row>
    <row r="62" spans="1:6" x14ac:dyDescent="0.2">
      <c r="A62" s="9" t="s">
        <v>203</v>
      </c>
      <c r="B62" s="7">
        <v>1.8049999999999999</v>
      </c>
      <c r="C62" s="7">
        <v>1.72</v>
      </c>
      <c r="D62" s="7">
        <v>1.8049999999999999</v>
      </c>
      <c r="E62" s="13">
        <f t="shared" si="0"/>
        <v>1014.41</v>
      </c>
      <c r="F62" s="13">
        <f t="shared" si="1"/>
        <v>1014.41</v>
      </c>
    </row>
    <row r="63" spans="1:6" x14ac:dyDescent="0.2">
      <c r="A63" s="9" t="s">
        <v>202</v>
      </c>
      <c r="B63" s="7">
        <v>1.89</v>
      </c>
      <c r="C63" s="7">
        <v>1.83</v>
      </c>
      <c r="D63" s="7">
        <v>1.855</v>
      </c>
      <c r="E63" s="13">
        <f t="shared" si="0"/>
        <v>1042.51</v>
      </c>
      <c r="F63" s="13">
        <f t="shared" si="1"/>
        <v>1042.51</v>
      </c>
    </row>
    <row r="64" spans="1:6" x14ac:dyDescent="0.2">
      <c r="A64" s="9" t="s">
        <v>201</v>
      </c>
      <c r="B64" s="7">
        <v>1.95</v>
      </c>
      <c r="C64" s="7">
        <v>1.9</v>
      </c>
      <c r="D64" s="7">
        <v>1.9350000000000001</v>
      </c>
      <c r="E64" s="13">
        <f t="shared" si="0"/>
        <v>1087.47</v>
      </c>
      <c r="F64" s="13">
        <f t="shared" si="1"/>
        <v>1087.47</v>
      </c>
    </row>
    <row r="65" spans="1:6" x14ac:dyDescent="0.2">
      <c r="A65" s="9" t="s">
        <v>200</v>
      </c>
      <c r="B65" s="7">
        <v>1.96</v>
      </c>
      <c r="C65" s="7">
        <v>1.9</v>
      </c>
      <c r="D65" s="7">
        <v>1.905</v>
      </c>
      <c r="E65" s="13">
        <f t="shared" si="0"/>
        <v>1070.6100000000001</v>
      </c>
      <c r="F65" s="13">
        <f t="shared" si="1"/>
        <v>1070.6100000000001</v>
      </c>
    </row>
    <row r="66" spans="1:6" x14ac:dyDescent="0.2">
      <c r="A66" s="9" t="s">
        <v>199</v>
      </c>
      <c r="B66" s="7">
        <v>1.9450000000000001</v>
      </c>
      <c r="C66" s="7">
        <v>1.89</v>
      </c>
      <c r="D66" s="7">
        <v>1.91</v>
      </c>
      <c r="E66" s="13">
        <f t="shared" si="0"/>
        <v>1073.4199999999998</v>
      </c>
      <c r="F66" s="13">
        <f t="shared" si="1"/>
        <v>1073.4199999999998</v>
      </c>
    </row>
    <row r="67" spans="1:6" x14ac:dyDescent="0.2">
      <c r="A67" s="9" t="s">
        <v>198</v>
      </c>
      <c r="B67" s="7">
        <v>1.89</v>
      </c>
      <c r="C67" s="7">
        <v>1.845</v>
      </c>
      <c r="D67" s="7">
        <v>1.855</v>
      </c>
      <c r="E67" s="13">
        <f t="shared" si="0"/>
        <v>1042.51</v>
      </c>
      <c r="F67" s="13">
        <f t="shared" si="1"/>
        <v>1042.51</v>
      </c>
    </row>
    <row r="68" spans="1:6" x14ac:dyDescent="0.2">
      <c r="A68" s="9" t="s">
        <v>197</v>
      </c>
      <c r="B68" s="7">
        <v>1.958</v>
      </c>
      <c r="C68" s="7">
        <v>1.865</v>
      </c>
      <c r="D68" s="7">
        <v>1.9450000000000001</v>
      </c>
      <c r="E68" s="13">
        <f t="shared" ref="E68:E131" si="2">562*D68</f>
        <v>1093.0900000000001</v>
      </c>
      <c r="F68" s="13">
        <f t="shared" ref="F68:F131" si="3">E68+L67</f>
        <v>1093.0900000000001</v>
      </c>
    </row>
    <row r="69" spans="1:6" x14ac:dyDescent="0.2">
      <c r="A69" s="9" t="s">
        <v>196</v>
      </c>
      <c r="B69" s="7">
        <v>1.97</v>
      </c>
      <c r="C69" s="7">
        <v>1.93</v>
      </c>
      <c r="D69" s="7">
        <v>1.95</v>
      </c>
      <c r="E69" s="13">
        <f t="shared" si="2"/>
        <v>1095.8999999999999</v>
      </c>
      <c r="F69" s="13">
        <f t="shared" si="3"/>
        <v>1095.8999999999999</v>
      </c>
    </row>
    <row r="70" spans="1:6" x14ac:dyDescent="0.2">
      <c r="A70" s="9" t="s">
        <v>195</v>
      </c>
      <c r="B70" s="7">
        <v>1.9450000000000001</v>
      </c>
      <c r="C70" s="7">
        <v>1.915</v>
      </c>
      <c r="D70" s="7">
        <v>1.9450000000000001</v>
      </c>
      <c r="E70" s="13">
        <f t="shared" si="2"/>
        <v>1093.0900000000001</v>
      </c>
      <c r="F70" s="13">
        <f t="shared" si="3"/>
        <v>1093.0900000000001</v>
      </c>
    </row>
    <row r="71" spans="1:6" x14ac:dyDescent="0.2">
      <c r="A71" s="9" t="s">
        <v>194</v>
      </c>
      <c r="B71" s="7">
        <v>1.9450000000000001</v>
      </c>
      <c r="C71" s="7">
        <v>1.89</v>
      </c>
      <c r="D71" s="7">
        <v>1.915</v>
      </c>
      <c r="E71" s="13">
        <f t="shared" si="2"/>
        <v>1076.23</v>
      </c>
      <c r="F71" s="13">
        <f t="shared" si="3"/>
        <v>1076.23</v>
      </c>
    </row>
    <row r="72" spans="1:6" x14ac:dyDescent="0.2">
      <c r="A72" s="9" t="s">
        <v>193</v>
      </c>
      <c r="B72" s="7">
        <v>2.0099999999999998</v>
      </c>
      <c r="C72" s="7">
        <v>1.9419999999999999</v>
      </c>
      <c r="D72" s="7">
        <v>1.9850000000000001</v>
      </c>
      <c r="E72" s="13">
        <f t="shared" si="2"/>
        <v>1115.5700000000002</v>
      </c>
      <c r="F72" s="13">
        <f t="shared" si="3"/>
        <v>1115.5700000000002</v>
      </c>
    </row>
    <row r="73" spans="1:6" x14ac:dyDescent="0.2">
      <c r="A73" s="9" t="s">
        <v>192</v>
      </c>
      <c r="B73" s="7">
        <v>1.9550000000000001</v>
      </c>
      <c r="C73" s="7">
        <v>1.895</v>
      </c>
      <c r="D73" s="7">
        <v>1.895</v>
      </c>
      <c r="E73" s="13">
        <f t="shared" si="2"/>
        <v>1064.99</v>
      </c>
      <c r="F73" s="13">
        <f t="shared" si="3"/>
        <v>1064.99</v>
      </c>
    </row>
    <row r="74" spans="1:6" x14ac:dyDescent="0.2">
      <c r="A74" s="9" t="s">
        <v>191</v>
      </c>
      <c r="B74" s="7">
        <v>1.895</v>
      </c>
      <c r="C74" s="7">
        <v>1.837</v>
      </c>
      <c r="D74" s="7">
        <v>1.845</v>
      </c>
      <c r="E74" s="13">
        <f t="shared" si="2"/>
        <v>1036.8899999999999</v>
      </c>
      <c r="F74" s="13">
        <f t="shared" si="3"/>
        <v>1036.8899999999999</v>
      </c>
    </row>
    <row r="75" spans="1:6" x14ac:dyDescent="0.2">
      <c r="A75" s="9" t="s">
        <v>190</v>
      </c>
      <c r="B75" s="7">
        <v>1.895</v>
      </c>
      <c r="C75" s="7">
        <v>1.85</v>
      </c>
      <c r="D75" s="7">
        <v>1.88</v>
      </c>
      <c r="E75" s="13">
        <f t="shared" si="2"/>
        <v>1056.56</v>
      </c>
      <c r="F75" s="13">
        <f t="shared" si="3"/>
        <v>1056.56</v>
      </c>
    </row>
    <row r="76" spans="1:6" x14ac:dyDescent="0.2">
      <c r="A76" s="9" t="s">
        <v>189</v>
      </c>
      <c r="B76" s="7">
        <v>1.9</v>
      </c>
      <c r="C76" s="7">
        <v>1.8149999999999999</v>
      </c>
      <c r="D76" s="7">
        <v>1.825</v>
      </c>
      <c r="E76" s="13">
        <f t="shared" si="2"/>
        <v>1025.6499999999999</v>
      </c>
      <c r="F76" s="13">
        <f t="shared" si="3"/>
        <v>1025.6499999999999</v>
      </c>
    </row>
    <row r="77" spans="1:6" x14ac:dyDescent="0.2">
      <c r="A77" s="9" t="s">
        <v>188</v>
      </c>
      <c r="B77" s="7">
        <v>1.89</v>
      </c>
      <c r="C77" s="7">
        <v>1.7949999999999999</v>
      </c>
      <c r="D77" s="7">
        <v>1.875</v>
      </c>
      <c r="E77" s="13">
        <f t="shared" si="2"/>
        <v>1053.75</v>
      </c>
      <c r="F77" s="13">
        <f t="shared" si="3"/>
        <v>1053.75</v>
      </c>
    </row>
    <row r="78" spans="1:6" x14ac:dyDescent="0.2">
      <c r="A78" s="9" t="s">
        <v>187</v>
      </c>
      <c r="B78" s="7">
        <v>1.905</v>
      </c>
      <c r="C78" s="7">
        <v>1.825</v>
      </c>
      <c r="D78" s="7">
        <v>1.835</v>
      </c>
      <c r="E78" s="13">
        <f t="shared" si="2"/>
        <v>1031.27</v>
      </c>
      <c r="F78" s="13">
        <f t="shared" si="3"/>
        <v>1031.27</v>
      </c>
    </row>
    <row r="79" spans="1:6" x14ac:dyDescent="0.2">
      <c r="A79" s="9" t="s">
        <v>186</v>
      </c>
      <c r="B79" s="7">
        <v>1.7849999999999999</v>
      </c>
      <c r="C79" s="7">
        <v>1.72</v>
      </c>
      <c r="D79" s="7">
        <v>1.7450000000000001</v>
      </c>
      <c r="E79" s="13">
        <f t="shared" si="2"/>
        <v>980.69</v>
      </c>
      <c r="F79" s="13">
        <f t="shared" si="3"/>
        <v>980.69</v>
      </c>
    </row>
    <row r="80" spans="1:6" x14ac:dyDescent="0.2">
      <c r="A80" s="9" t="s">
        <v>185</v>
      </c>
      <c r="B80" s="7">
        <v>1.792</v>
      </c>
      <c r="C80" s="7">
        <v>1.7549999999999999</v>
      </c>
      <c r="D80" s="7">
        <v>1.7649999999999999</v>
      </c>
      <c r="E80" s="13">
        <f t="shared" si="2"/>
        <v>991.93</v>
      </c>
      <c r="F80" s="13">
        <f t="shared" si="3"/>
        <v>991.93</v>
      </c>
    </row>
    <row r="81" spans="1:6" x14ac:dyDescent="0.2">
      <c r="A81" s="9" t="s">
        <v>184</v>
      </c>
      <c r="B81" s="7">
        <v>1.8</v>
      </c>
      <c r="C81" s="7">
        <v>1.74</v>
      </c>
      <c r="D81" s="7">
        <v>1.7549999999999999</v>
      </c>
      <c r="E81" s="13">
        <f t="shared" si="2"/>
        <v>986.31</v>
      </c>
      <c r="F81" s="13">
        <f t="shared" si="3"/>
        <v>986.31</v>
      </c>
    </row>
    <row r="82" spans="1:6" x14ac:dyDescent="0.2">
      <c r="A82" s="9" t="s">
        <v>183</v>
      </c>
      <c r="B82" s="7">
        <v>1.79</v>
      </c>
      <c r="C82" s="7">
        <v>1.7450000000000001</v>
      </c>
      <c r="D82" s="7">
        <v>1.77</v>
      </c>
      <c r="E82" s="13">
        <f t="shared" si="2"/>
        <v>994.74</v>
      </c>
      <c r="F82" s="13">
        <f t="shared" si="3"/>
        <v>994.74</v>
      </c>
    </row>
    <row r="83" spans="1:6" x14ac:dyDescent="0.2">
      <c r="A83" s="9" t="s">
        <v>182</v>
      </c>
      <c r="B83" s="7">
        <v>1.825</v>
      </c>
      <c r="C83" s="7">
        <v>1.76</v>
      </c>
      <c r="D83" s="7">
        <v>1.76</v>
      </c>
      <c r="E83" s="13">
        <f t="shared" si="2"/>
        <v>989.12</v>
      </c>
      <c r="F83" s="13">
        <f t="shared" si="3"/>
        <v>989.12</v>
      </c>
    </row>
    <row r="84" spans="1:6" x14ac:dyDescent="0.2">
      <c r="A84" s="9" t="s">
        <v>181</v>
      </c>
      <c r="B84" s="7">
        <v>1.7050000000000001</v>
      </c>
      <c r="C84" s="7">
        <v>1.665</v>
      </c>
      <c r="D84" s="7">
        <v>1.68</v>
      </c>
      <c r="E84" s="13">
        <f t="shared" si="2"/>
        <v>944.16</v>
      </c>
      <c r="F84" s="13">
        <f t="shared" si="3"/>
        <v>944.16</v>
      </c>
    </row>
    <row r="85" spans="1:6" x14ac:dyDescent="0.2">
      <c r="A85" s="9" t="s">
        <v>180</v>
      </c>
      <c r="B85" s="7">
        <v>1.738</v>
      </c>
      <c r="C85" s="7">
        <v>1.7</v>
      </c>
      <c r="D85" s="7">
        <v>1.7</v>
      </c>
      <c r="E85" s="13">
        <f t="shared" si="2"/>
        <v>955.4</v>
      </c>
      <c r="F85" s="13">
        <f t="shared" si="3"/>
        <v>955.4</v>
      </c>
    </row>
    <row r="86" spans="1:6" x14ac:dyDescent="0.2">
      <c r="A86" s="9" t="s">
        <v>179</v>
      </c>
      <c r="B86" s="7">
        <v>1.7150000000000001</v>
      </c>
      <c r="C86" s="7">
        <v>1.67</v>
      </c>
      <c r="D86" s="7">
        <v>1.7</v>
      </c>
      <c r="E86" s="13">
        <f t="shared" si="2"/>
        <v>955.4</v>
      </c>
      <c r="F86" s="13">
        <f t="shared" si="3"/>
        <v>955.4</v>
      </c>
    </row>
    <row r="87" spans="1:6" x14ac:dyDescent="0.2">
      <c r="A87" s="9" t="s">
        <v>178</v>
      </c>
      <c r="B87" s="7">
        <v>1.74</v>
      </c>
      <c r="C87" s="7">
        <v>1.7</v>
      </c>
      <c r="D87" s="7">
        <v>1.71</v>
      </c>
      <c r="E87" s="13">
        <f t="shared" si="2"/>
        <v>961.02</v>
      </c>
      <c r="F87" s="13">
        <f t="shared" si="3"/>
        <v>961.02</v>
      </c>
    </row>
    <row r="88" spans="1:6" x14ac:dyDescent="0.2">
      <c r="A88" s="9" t="s">
        <v>177</v>
      </c>
      <c r="B88" s="7">
        <v>1.7949999999999999</v>
      </c>
      <c r="C88" s="7">
        <v>1.7350000000000001</v>
      </c>
      <c r="D88" s="7">
        <v>1.79</v>
      </c>
      <c r="E88" s="13">
        <f t="shared" si="2"/>
        <v>1005.98</v>
      </c>
      <c r="F88" s="13">
        <f t="shared" si="3"/>
        <v>1005.98</v>
      </c>
    </row>
    <row r="89" spans="1:6" x14ac:dyDescent="0.2">
      <c r="A89" s="9" t="s">
        <v>176</v>
      </c>
      <c r="B89" s="7">
        <v>1.8049999999999999</v>
      </c>
      <c r="C89" s="7">
        <v>1.78</v>
      </c>
      <c r="D89" s="7">
        <v>1.7949999999999999</v>
      </c>
      <c r="E89" s="13">
        <f t="shared" si="2"/>
        <v>1008.79</v>
      </c>
      <c r="F89" s="13">
        <f t="shared" si="3"/>
        <v>1008.79</v>
      </c>
    </row>
    <row r="90" spans="1:6" x14ac:dyDescent="0.2">
      <c r="A90" s="9" t="s">
        <v>175</v>
      </c>
      <c r="B90" s="7">
        <v>1.79</v>
      </c>
      <c r="C90" s="7">
        <v>1.7549999999999999</v>
      </c>
      <c r="D90" s="7">
        <v>1.77</v>
      </c>
      <c r="E90" s="13">
        <f t="shared" si="2"/>
        <v>994.74</v>
      </c>
      <c r="F90" s="13">
        <f t="shared" si="3"/>
        <v>994.74</v>
      </c>
    </row>
    <row r="91" spans="1:6" x14ac:dyDescent="0.2">
      <c r="A91" s="9" t="s">
        <v>174</v>
      </c>
      <c r="B91" s="7">
        <v>1.83</v>
      </c>
      <c r="C91" s="7">
        <v>1.7949999999999999</v>
      </c>
      <c r="D91" s="7">
        <v>1.8149999999999999</v>
      </c>
      <c r="E91" s="13">
        <f t="shared" si="2"/>
        <v>1020.03</v>
      </c>
      <c r="F91" s="13">
        <f t="shared" si="3"/>
        <v>1020.03</v>
      </c>
    </row>
    <row r="92" spans="1:6" x14ac:dyDescent="0.2">
      <c r="A92" s="9" t="s">
        <v>173</v>
      </c>
      <c r="B92" s="7">
        <v>1.83</v>
      </c>
      <c r="C92" s="7">
        <v>1.7949999999999999</v>
      </c>
      <c r="D92" s="7">
        <v>1.825</v>
      </c>
      <c r="E92" s="13">
        <f t="shared" si="2"/>
        <v>1025.6499999999999</v>
      </c>
      <c r="F92" s="13">
        <f t="shared" si="3"/>
        <v>1025.6499999999999</v>
      </c>
    </row>
    <row r="93" spans="1:6" x14ac:dyDescent="0.2">
      <c r="A93" s="9" t="s">
        <v>172</v>
      </c>
      <c r="B93" s="7">
        <v>1.855</v>
      </c>
      <c r="C93" s="7">
        <v>1.78</v>
      </c>
      <c r="D93" s="7">
        <v>1.845</v>
      </c>
      <c r="E93" s="13">
        <f t="shared" si="2"/>
        <v>1036.8899999999999</v>
      </c>
      <c r="F93" s="13">
        <f t="shared" si="3"/>
        <v>1036.8899999999999</v>
      </c>
    </row>
    <row r="94" spans="1:6" x14ac:dyDescent="0.2">
      <c r="A94" s="9" t="s">
        <v>171</v>
      </c>
      <c r="B94" s="7">
        <v>1.87</v>
      </c>
      <c r="C94" s="7">
        <v>1.8149999999999999</v>
      </c>
      <c r="D94" s="7">
        <v>1.8149999999999999</v>
      </c>
      <c r="E94" s="13">
        <f t="shared" si="2"/>
        <v>1020.03</v>
      </c>
      <c r="F94" s="13">
        <f t="shared" si="3"/>
        <v>1020.03</v>
      </c>
    </row>
    <row r="95" spans="1:6" x14ac:dyDescent="0.2">
      <c r="A95" s="9" t="s">
        <v>170</v>
      </c>
      <c r="B95" s="7">
        <v>1.89</v>
      </c>
      <c r="C95" s="7">
        <v>1.845</v>
      </c>
      <c r="D95" s="7">
        <v>1.875</v>
      </c>
      <c r="E95" s="13">
        <f t="shared" si="2"/>
        <v>1053.75</v>
      </c>
      <c r="F95" s="13">
        <f t="shared" si="3"/>
        <v>1053.75</v>
      </c>
    </row>
    <row r="96" spans="1:6" x14ac:dyDescent="0.2">
      <c r="A96" s="9" t="s">
        <v>169</v>
      </c>
      <c r="B96" s="7">
        <v>1.875</v>
      </c>
      <c r="C96" s="7">
        <v>1.84</v>
      </c>
      <c r="D96" s="7">
        <v>1.87</v>
      </c>
      <c r="E96" s="13">
        <f t="shared" si="2"/>
        <v>1050.94</v>
      </c>
      <c r="F96" s="13">
        <f t="shared" si="3"/>
        <v>1050.94</v>
      </c>
    </row>
    <row r="97" spans="1:6" x14ac:dyDescent="0.2">
      <c r="A97" s="9" t="s">
        <v>168</v>
      </c>
      <c r="B97" s="7">
        <v>1.94</v>
      </c>
      <c r="C97" s="7">
        <v>1.9</v>
      </c>
      <c r="D97" s="7">
        <v>1.915</v>
      </c>
      <c r="E97" s="13">
        <f t="shared" si="2"/>
        <v>1076.23</v>
      </c>
      <c r="F97" s="13">
        <f t="shared" si="3"/>
        <v>1076.23</v>
      </c>
    </row>
    <row r="98" spans="1:6" x14ac:dyDescent="0.2">
      <c r="A98" s="9" t="s">
        <v>167</v>
      </c>
      <c r="B98" s="7">
        <v>1.94</v>
      </c>
      <c r="C98" s="7">
        <v>1.915</v>
      </c>
      <c r="D98" s="7">
        <v>1.92</v>
      </c>
      <c r="E98" s="13">
        <f t="shared" si="2"/>
        <v>1079.04</v>
      </c>
      <c r="F98" s="13">
        <f t="shared" si="3"/>
        <v>1079.04</v>
      </c>
    </row>
    <row r="99" spans="1:6" x14ac:dyDescent="0.2">
      <c r="A99" s="9" t="s">
        <v>166</v>
      </c>
      <c r="B99" s="7">
        <v>1.925</v>
      </c>
      <c r="C99" s="7">
        <v>1.883</v>
      </c>
      <c r="D99" s="7">
        <v>1.89</v>
      </c>
      <c r="E99" s="13">
        <f t="shared" si="2"/>
        <v>1062.1799999999998</v>
      </c>
      <c r="F99" s="13">
        <f t="shared" si="3"/>
        <v>1062.1799999999998</v>
      </c>
    </row>
    <row r="100" spans="1:6" x14ac:dyDescent="0.2">
      <c r="A100" s="9" t="s">
        <v>165</v>
      </c>
      <c r="B100" s="7">
        <v>1.845</v>
      </c>
      <c r="C100" s="7">
        <v>1.79</v>
      </c>
      <c r="D100" s="7">
        <v>1.79</v>
      </c>
      <c r="E100" s="13">
        <f t="shared" si="2"/>
        <v>1005.98</v>
      </c>
      <c r="F100" s="13">
        <f t="shared" si="3"/>
        <v>1005.98</v>
      </c>
    </row>
    <row r="101" spans="1:6" x14ac:dyDescent="0.2">
      <c r="A101" s="9" t="s">
        <v>164</v>
      </c>
      <c r="B101" s="7">
        <v>1.79</v>
      </c>
      <c r="C101" s="7">
        <v>1.7549999999999999</v>
      </c>
      <c r="D101" s="7">
        <v>1.78</v>
      </c>
      <c r="E101" s="13">
        <f t="shared" si="2"/>
        <v>1000.36</v>
      </c>
      <c r="F101" s="13">
        <f t="shared" si="3"/>
        <v>1000.36</v>
      </c>
    </row>
    <row r="102" spans="1:6" x14ac:dyDescent="0.2">
      <c r="A102" s="9" t="s">
        <v>163</v>
      </c>
      <c r="B102" s="7">
        <v>1.855</v>
      </c>
      <c r="C102" s="7">
        <v>1.7949999999999999</v>
      </c>
      <c r="D102" s="7">
        <v>1.855</v>
      </c>
      <c r="E102" s="13">
        <f t="shared" si="2"/>
        <v>1042.51</v>
      </c>
      <c r="F102" s="13">
        <f t="shared" si="3"/>
        <v>1042.51</v>
      </c>
    </row>
    <row r="103" spans="1:6" x14ac:dyDescent="0.2">
      <c r="A103" s="9" t="s">
        <v>162</v>
      </c>
      <c r="B103" s="7">
        <v>1.88</v>
      </c>
      <c r="C103" s="7">
        <v>1.835</v>
      </c>
      <c r="D103" s="7">
        <v>1.85</v>
      </c>
      <c r="E103" s="13">
        <f t="shared" si="2"/>
        <v>1039.7</v>
      </c>
      <c r="F103" s="13">
        <f t="shared" si="3"/>
        <v>1039.7</v>
      </c>
    </row>
    <row r="104" spans="1:6" x14ac:dyDescent="0.2">
      <c r="A104" s="9" t="s">
        <v>161</v>
      </c>
      <c r="B104" s="7">
        <v>1.9450000000000001</v>
      </c>
      <c r="C104" s="7">
        <v>1.84</v>
      </c>
      <c r="D104" s="7">
        <v>1.91</v>
      </c>
      <c r="E104" s="13">
        <f t="shared" si="2"/>
        <v>1073.4199999999998</v>
      </c>
      <c r="F104" s="13">
        <f t="shared" si="3"/>
        <v>1073.4199999999998</v>
      </c>
    </row>
    <row r="105" spans="1:6" x14ac:dyDescent="0.2">
      <c r="A105" s="9" t="s">
        <v>160</v>
      </c>
      <c r="B105" s="7">
        <v>1.915</v>
      </c>
      <c r="C105" s="7">
        <v>1.75</v>
      </c>
      <c r="D105" s="7">
        <v>1.8</v>
      </c>
      <c r="E105" s="13">
        <f t="shared" si="2"/>
        <v>1011.6</v>
      </c>
      <c r="F105" s="13">
        <f t="shared" si="3"/>
        <v>1011.6</v>
      </c>
    </row>
    <row r="106" spans="1:6" x14ac:dyDescent="0.2">
      <c r="A106" s="9" t="s">
        <v>159</v>
      </c>
      <c r="B106" s="7">
        <v>1.875</v>
      </c>
      <c r="C106" s="7">
        <v>1.8</v>
      </c>
      <c r="D106" s="7">
        <v>1.875</v>
      </c>
      <c r="E106" s="13">
        <f t="shared" si="2"/>
        <v>1053.75</v>
      </c>
      <c r="F106" s="13">
        <f t="shared" si="3"/>
        <v>1053.75</v>
      </c>
    </row>
    <row r="107" spans="1:6" x14ac:dyDescent="0.2">
      <c r="A107" s="9" t="s">
        <v>158</v>
      </c>
      <c r="B107" s="7">
        <v>1.88</v>
      </c>
      <c r="C107" s="7">
        <v>1.8149999999999999</v>
      </c>
      <c r="D107" s="7">
        <v>1.8149999999999999</v>
      </c>
      <c r="E107" s="13">
        <f t="shared" si="2"/>
        <v>1020.03</v>
      </c>
      <c r="F107" s="13">
        <f t="shared" si="3"/>
        <v>1020.03</v>
      </c>
    </row>
    <row r="108" spans="1:6" x14ac:dyDescent="0.2">
      <c r="A108" s="9" t="s">
        <v>157</v>
      </c>
      <c r="B108" s="7">
        <v>1.867</v>
      </c>
      <c r="C108" s="7">
        <v>1.8169999999999999</v>
      </c>
      <c r="D108" s="7">
        <v>1.82</v>
      </c>
      <c r="E108" s="13">
        <f t="shared" si="2"/>
        <v>1022.84</v>
      </c>
      <c r="F108" s="13">
        <f t="shared" si="3"/>
        <v>1022.84</v>
      </c>
    </row>
    <row r="109" spans="1:6" x14ac:dyDescent="0.2">
      <c r="A109" s="9" t="s">
        <v>156</v>
      </c>
      <c r="B109" s="7">
        <v>1.835</v>
      </c>
      <c r="C109" s="7">
        <v>1.7749999999999999</v>
      </c>
      <c r="D109" s="7">
        <v>1.83</v>
      </c>
      <c r="E109" s="13">
        <f t="shared" si="2"/>
        <v>1028.46</v>
      </c>
      <c r="F109" s="13">
        <f t="shared" si="3"/>
        <v>1028.46</v>
      </c>
    </row>
    <row r="110" spans="1:6" x14ac:dyDescent="0.2">
      <c r="A110" s="9" t="s">
        <v>155</v>
      </c>
      <c r="B110" s="7">
        <v>1.96</v>
      </c>
      <c r="C110" s="7">
        <v>1.86</v>
      </c>
      <c r="D110" s="7">
        <v>1.92</v>
      </c>
      <c r="E110" s="13">
        <f t="shared" si="2"/>
        <v>1079.04</v>
      </c>
      <c r="F110" s="13">
        <f t="shared" si="3"/>
        <v>1079.04</v>
      </c>
    </row>
    <row r="111" spans="1:6" x14ac:dyDescent="0.2">
      <c r="A111" s="9" t="s">
        <v>154</v>
      </c>
      <c r="B111" s="7">
        <v>2</v>
      </c>
      <c r="C111" s="7">
        <v>1.96</v>
      </c>
      <c r="D111" s="7">
        <v>1.99</v>
      </c>
      <c r="E111" s="13">
        <f t="shared" si="2"/>
        <v>1118.3799999999999</v>
      </c>
      <c r="F111" s="13">
        <f t="shared" si="3"/>
        <v>1118.3799999999999</v>
      </c>
    </row>
    <row r="112" spans="1:6" x14ac:dyDescent="0.2">
      <c r="A112" s="9" t="s">
        <v>153</v>
      </c>
      <c r="B112" s="7">
        <v>1.88</v>
      </c>
      <c r="C112" s="7">
        <v>1.802</v>
      </c>
      <c r="D112" s="7">
        <v>1.8149999999999999</v>
      </c>
      <c r="E112" s="13">
        <f t="shared" si="2"/>
        <v>1020.03</v>
      </c>
      <c r="F112" s="13">
        <f t="shared" si="3"/>
        <v>1020.03</v>
      </c>
    </row>
    <row r="113" spans="1:6" x14ac:dyDescent="0.2">
      <c r="A113" s="9" t="s">
        <v>152</v>
      </c>
      <c r="B113" s="7">
        <v>1.85</v>
      </c>
      <c r="C113" s="7">
        <v>1.78</v>
      </c>
      <c r="D113" s="7">
        <v>1.7949999999999999</v>
      </c>
      <c r="E113" s="13">
        <f t="shared" si="2"/>
        <v>1008.79</v>
      </c>
      <c r="F113" s="13">
        <f t="shared" si="3"/>
        <v>1008.79</v>
      </c>
    </row>
    <row r="114" spans="1:6" x14ac:dyDescent="0.2">
      <c r="A114" s="9" t="s">
        <v>151</v>
      </c>
      <c r="B114" s="7">
        <v>1.835</v>
      </c>
      <c r="C114" s="7">
        <v>1.77</v>
      </c>
      <c r="D114" s="7">
        <v>1.78</v>
      </c>
      <c r="E114" s="13">
        <f t="shared" si="2"/>
        <v>1000.36</v>
      </c>
      <c r="F114" s="13">
        <f t="shared" si="3"/>
        <v>1000.36</v>
      </c>
    </row>
    <row r="115" spans="1:6" x14ac:dyDescent="0.2">
      <c r="A115" s="9" t="s">
        <v>150</v>
      </c>
      <c r="B115" s="7">
        <v>1.77</v>
      </c>
      <c r="C115" s="7">
        <v>1.7150000000000001</v>
      </c>
      <c r="D115" s="7">
        <v>1.7250000000000001</v>
      </c>
      <c r="E115" s="13">
        <f t="shared" si="2"/>
        <v>969.45</v>
      </c>
      <c r="F115" s="13">
        <f t="shared" si="3"/>
        <v>969.45</v>
      </c>
    </row>
    <row r="116" spans="1:6" x14ac:dyDescent="0.2">
      <c r="A116" s="9" t="s">
        <v>149</v>
      </c>
      <c r="B116" s="7">
        <v>1.778</v>
      </c>
      <c r="C116" s="7">
        <v>1.73</v>
      </c>
      <c r="D116" s="7">
        <v>1.7649999999999999</v>
      </c>
      <c r="E116" s="13">
        <f t="shared" si="2"/>
        <v>991.93</v>
      </c>
      <c r="F116" s="13">
        <f t="shared" si="3"/>
        <v>991.93</v>
      </c>
    </row>
    <row r="117" spans="1:6" x14ac:dyDescent="0.2">
      <c r="A117" s="9" t="s">
        <v>148</v>
      </c>
      <c r="B117" s="7">
        <v>1.8</v>
      </c>
      <c r="C117" s="7">
        <v>1.75</v>
      </c>
      <c r="D117" s="7">
        <v>1.7649999999999999</v>
      </c>
      <c r="E117" s="13">
        <f t="shared" si="2"/>
        <v>991.93</v>
      </c>
      <c r="F117" s="13">
        <f t="shared" si="3"/>
        <v>991.93</v>
      </c>
    </row>
    <row r="118" spans="1:6" x14ac:dyDescent="0.2">
      <c r="A118" s="9" t="s">
        <v>147</v>
      </c>
      <c r="B118" s="7">
        <v>1.825</v>
      </c>
      <c r="C118" s="7">
        <v>1.78</v>
      </c>
      <c r="D118" s="7">
        <v>1.81</v>
      </c>
      <c r="E118" s="13">
        <f t="shared" si="2"/>
        <v>1017.22</v>
      </c>
      <c r="F118" s="13">
        <f t="shared" si="3"/>
        <v>1017.22</v>
      </c>
    </row>
    <row r="119" spans="1:6" x14ac:dyDescent="0.2">
      <c r="A119" s="9" t="s">
        <v>146</v>
      </c>
      <c r="B119" s="7">
        <v>1.82</v>
      </c>
      <c r="C119" s="7">
        <v>1.7949999999999999</v>
      </c>
      <c r="D119" s="7">
        <v>1.81</v>
      </c>
      <c r="E119" s="13">
        <f t="shared" si="2"/>
        <v>1017.22</v>
      </c>
      <c r="F119" s="13">
        <f t="shared" si="3"/>
        <v>1017.22</v>
      </c>
    </row>
    <row r="120" spans="1:6" x14ac:dyDescent="0.2">
      <c r="A120" s="9" t="s">
        <v>145</v>
      </c>
      <c r="B120" s="7">
        <v>1.89</v>
      </c>
      <c r="C120" s="7">
        <v>1.843</v>
      </c>
      <c r="D120" s="7">
        <v>1.89</v>
      </c>
      <c r="E120" s="13">
        <f t="shared" si="2"/>
        <v>1062.1799999999998</v>
      </c>
      <c r="F120" s="13">
        <f t="shared" si="3"/>
        <v>1062.1799999999998</v>
      </c>
    </row>
    <row r="121" spans="1:6" x14ac:dyDescent="0.2">
      <c r="A121" s="9" t="s">
        <v>144</v>
      </c>
      <c r="B121" s="7">
        <v>1.855</v>
      </c>
      <c r="C121" s="7">
        <v>1.82</v>
      </c>
      <c r="D121" s="7">
        <v>1.83</v>
      </c>
      <c r="E121" s="13">
        <f t="shared" si="2"/>
        <v>1028.46</v>
      </c>
      <c r="F121" s="13">
        <f t="shared" si="3"/>
        <v>1028.46</v>
      </c>
    </row>
    <row r="122" spans="1:6" x14ac:dyDescent="0.2">
      <c r="A122" s="9" t="s">
        <v>143</v>
      </c>
      <c r="B122" s="7">
        <v>1.855</v>
      </c>
      <c r="C122" s="7">
        <v>1.8049999999999999</v>
      </c>
      <c r="D122" s="7">
        <v>1.83</v>
      </c>
      <c r="E122" s="13">
        <f t="shared" si="2"/>
        <v>1028.46</v>
      </c>
      <c r="F122" s="13">
        <f t="shared" si="3"/>
        <v>1028.46</v>
      </c>
    </row>
    <row r="123" spans="1:6" x14ac:dyDescent="0.2">
      <c r="A123" s="9" t="s">
        <v>142</v>
      </c>
      <c r="B123" s="7">
        <v>1.8120000000000001</v>
      </c>
      <c r="C123" s="7">
        <v>1.742</v>
      </c>
      <c r="D123" s="7">
        <v>1.75</v>
      </c>
      <c r="E123" s="13">
        <f t="shared" si="2"/>
        <v>983.5</v>
      </c>
      <c r="F123" s="13">
        <f t="shared" si="3"/>
        <v>983.5</v>
      </c>
    </row>
    <row r="124" spans="1:6" x14ac:dyDescent="0.2">
      <c r="A124" s="9" t="s">
        <v>141</v>
      </c>
      <c r="B124" s="7">
        <v>1.73</v>
      </c>
      <c r="C124" s="7">
        <v>1.68</v>
      </c>
      <c r="D124" s="7">
        <v>1.73</v>
      </c>
      <c r="E124" s="13">
        <f t="shared" si="2"/>
        <v>972.26</v>
      </c>
      <c r="F124" s="13">
        <f t="shared" si="3"/>
        <v>972.26</v>
      </c>
    </row>
    <row r="125" spans="1:6" x14ac:dyDescent="0.2">
      <c r="A125" s="9" t="s">
        <v>140</v>
      </c>
      <c r="B125" s="7">
        <v>1.7749999999999999</v>
      </c>
      <c r="C125" s="7">
        <v>1.722</v>
      </c>
      <c r="D125" s="7">
        <v>1.7549999999999999</v>
      </c>
      <c r="E125" s="13">
        <f t="shared" si="2"/>
        <v>986.31</v>
      </c>
      <c r="F125" s="13">
        <f t="shared" si="3"/>
        <v>986.31</v>
      </c>
    </row>
    <row r="126" spans="1:6" x14ac:dyDescent="0.2">
      <c r="A126" s="9" t="s">
        <v>139</v>
      </c>
      <c r="B126" s="7">
        <v>1.7749999999999999</v>
      </c>
      <c r="C126" s="7">
        <v>1.72</v>
      </c>
      <c r="D126" s="7">
        <v>1.7649999999999999</v>
      </c>
      <c r="E126" s="13">
        <f t="shared" si="2"/>
        <v>991.93</v>
      </c>
      <c r="F126" s="13">
        <f t="shared" si="3"/>
        <v>991.93</v>
      </c>
    </row>
    <row r="127" spans="1:6" x14ac:dyDescent="0.2">
      <c r="A127" s="9" t="s">
        <v>138</v>
      </c>
      <c r="B127" s="7">
        <v>1.7949999999999999</v>
      </c>
      <c r="C127" s="7">
        <v>1.75</v>
      </c>
      <c r="D127" s="7">
        <v>1.76</v>
      </c>
      <c r="E127" s="13">
        <f t="shared" si="2"/>
        <v>989.12</v>
      </c>
      <c r="F127" s="13">
        <f t="shared" si="3"/>
        <v>989.12</v>
      </c>
    </row>
    <row r="128" spans="1:6" x14ac:dyDescent="0.2">
      <c r="A128" s="9" t="s">
        <v>137</v>
      </c>
      <c r="B128" s="7">
        <v>1.8049999999999999</v>
      </c>
      <c r="C128" s="7">
        <v>1.7549999999999999</v>
      </c>
      <c r="D128" s="7">
        <v>1.7949999999999999</v>
      </c>
      <c r="E128" s="13">
        <f t="shared" si="2"/>
        <v>1008.79</v>
      </c>
      <c r="F128" s="13">
        <f t="shared" si="3"/>
        <v>1008.79</v>
      </c>
    </row>
    <row r="129" spans="1:6" x14ac:dyDescent="0.2">
      <c r="A129" s="9" t="s">
        <v>136</v>
      </c>
      <c r="B129" s="7">
        <v>1.875</v>
      </c>
      <c r="C129" s="7">
        <v>1.827</v>
      </c>
      <c r="D129" s="7">
        <v>1.865</v>
      </c>
      <c r="E129" s="13">
        <f t="shared" si="2"/>
        <v>1048.1299999999999</v>
      </c>
      <c r="F129" s="13">
        <f t="shared" si="3"/>
        <v>1048.1299999999999</v>
      </c>
    </row>
    <row r="130" spans="1:6" x14ac:dyDescent="0.2">
      <c r="A130" s="9" t="s">
        <v>135</v>
      </c>
      <c r="B130" s="7">
        <v>1.9</v>
      </c>
      <c r="C130" s="7">
        <v>1.845</v>
      </c>
      <c r="D130" s="7">
        <v>1.895</v>
      </c>
      <c r="E130" s="13">
        <f t="shared" si="2"/>
        <v>1064.99</v>
      </c>
      <c r="F130" s="13">
        <f t="shared" si="3"/>
        <v>1064.99</v>
      </c>
    </row>
    <row r="131" spans="1:6" x14ac:dyDescent="0.2">
      <c r="A131" s="9" t="s">
        <v>134</v>
      </c>
      <c r="B131" s="7">
        <v>1.93</v>
      </c>
      <c r="C131" s="7">
        <v>1.875</v>
      </c>
      <c r="D131" s="7">
        <v>1.88</v>
      </c>
      <c r="E131" s="13">
        <f t="shared" si="2"/>
        <v>1056.56</v>
      </c>
      <c r="F131" s="13">
        <f t="shared" si="3"/>
        <v>1056.56</v>
      </c>
    </row>
    <row r="132" spans="1:6" x14ac:dyDescent="0.2">
      <c r="A132" s="9" t="s">
        <v>133</v>
      </c>
      <c r="B132" s="7">
        <v>1.895</v>
      </c>
      <c r="C132" s="7">
        <v>1.855</v>
      </c>
      <c r="D132" s="7">
        <v>1.895</v>
      </c>
      <c r="E132" s="13">
        <f t="shared" ref="E132:E195" si="4">562*D132</f>
        <v>1064.99</v>
      </c>
      <c r="F132" s="13">
        <f t="shared" ref="F132:F195" si="5">E132+L131</f>
        <v>1064.99</v>
      </c>
    </row>
    <row r="133" spans="1:6" x14ac:dyDescent="0.2">
      <c r="A133" s="9" t="s">
        <v>132</v>
      </c>
      <c r="B133" s="7">
        <v>1.903</v>
      </c>
      <c r="C133" s="7">
        <v>1.857</v>
      </c>
      <c r="D133" s="7">
        <v>1.88</v>
      </c>
      <c r="E133" s="13">
        <f t="shared" si="4"/>
        <v>1056.56</v>
      </c>
      <c r="F133" s="13">
        <f t="shared" si="5"/>
        <v>1056.56</v>
      </c>
    </row>
    <row r="134" spans="1:6" x14ac:dyDescent="0.2">
      <c r="A134" s="9" t="s">
        <v>131</v>
      </c>
      <c r="B134" s="7">
        <v>1.97</v>
      </c>
      <c r="C134" s="7">
        <v>1.89</v>
      </c>
      <c r="D134" s="7">
        <v>1.9550000000000001</v>
      </c>
      <c r="E134" s="13">
        <f t="shared" si="4"/>
        <v>1098.71</v>
      </c>
      <c r="F134" s="13">
        <f t="shared" si="5"/>
        <v>1098.71</v>
      </c>
    </row>
    <row r="135" spans="1:6" x14ac:dyDescent="0.2">
      <c r="A135" s="9" t="s">
        <v>130</v>
      </c>
      <c r="B135" s="7">
        <v>2.0699999999999998</v>
      </c>
      <c r="C135" s="7">
        <v>1.96</v>
      </c>
      <c r="D135" s="7">
        <v>2.0699999999999998</v>
      </c>
      <c r="E135" s="13">
        <f t="shared" si="4"/>
        <v>1163.3399999999999</v>
      </c>
      <c r="F135" s="13">
        <f t="shared" si="5"/>
        <v>1163.3399999999999</v>
      </c>
    </row>
    <row r="136" spans="1:6" x14ac:dyDescent="0.2">
      <c r="A136" s="9" t="s">
        <v>129</v>
      </c>
      <c r="B136" s="7">
        <v>2.13</v>
      </c>
      <c r="C136" s="7">
        <v>2.0449999999999999</v>
      </c>
      <c r="D136" s="7">
        <v>2.12</v>
      </c>
      <c r="E136" s="13">
        <f t="shared" si="4"/>
        <v>1191.44</v>
      </c>
      <c r="F136" s="13">
        <f t="shared" si="5"/>
        <v>1191.44</v>
      </c>
    </row>
    <row r="137" spans="1:6" x14ac:dyDescent="0.2">
      <c r="A137" s="9" t="s">
        <v>128</v>
      </c>
      <c r="B137" s="7">
        <v>2.1749999999999998</v>
      </c>
      <c r="C137" s="7">
        <v>2.13</v>
      </c>
      <c r="D137" s="7">
        <v>2.15</v>
      </c>
      <c r="E137" s="13">
        <f t="shared" si="4"/>
        <v>1208.3</v>
      </c>
      <c r="F137" s="13">
        <f t="shared" si="5"/>
        <v>1208.3</v>
      </c>
    </row>
    <row r="138" spans="1:6" x14ac:dyDescent="0.2">
      <c r="A138" s="9" t="s">
        <v>127</v>
      </c>
      <c r="B138" s="7">
        <v>2.2400000000000002</v>
      </c>
      <c r="C138" s="7">
        <v>2.15</v>
      </c>
      <c r="D138" s="7">
        <v>2.16</v>
      </c>
      <c r="E138" s="13">
        <f t="shared" si="4"/>
        <v>1213.92</v>
      </c>
      <c r="F138" s="13">
        <f t="shared" si="5"/>
        <v>1213.92</v>
      </c>
    </row>
    <row r="139" spans="1:6" x14ac:dyDescent="0.2">
      <c r="A139" s="9" t="s">
        <v>126</v>
      </c>
      <c r="B139" s="7">
        <v>2.17</v>
      </c>
      <c r="C139" s="7">
        <v>2.09</v>
      </c>
      <c r="D139" s="7">
        <v>2.15</v>
      </c>
      <c r="E139" s="13">
        <f t="shared" si="4"/>
        <v>1208.3</v>
      </c>
      <c r="F139" s="13">
        <f t="shared" si="5"/>
        <v>1208.3</v>
      </c>
    </row>
    <row r="140" spans="1:6" x14ac:dyDescent="0.2">
      <c r="A140" s="9" t="s">
        <v>125</v>
      </c>
      <c r="B140" s="7">
        <v>2.16</v>
      </c>
      <c r="C140" s="7">
        <v>2.0499999999999998</v>
      </c>
      <c r="D140" s="7">
        <v>2.15</v>
      </c>
      <c r="E140" s="13">
        <f t="shared" si="4"/>
        <v>1208.3</v>
      </c>
      <c r="F140" s="13">
        <f t="shared" si="5"/>
        <v>1208.3</v>
      </c>
    </row>
    <row r="141" spans="1:6" x14ac:dyDescent="0.2">
      <c r="A141" s="9" t="s">
        <v>124</v>
      </c>
      <c r="B141" s="7">
        <v>2.19</v>
      </c>
      <c r="C141" s="7">
        <v>2.15</v>
      </c>
      <c r="D141" s="7">
        <v>2.17</v>
      </c>
      <c r="E141" s="13">
        <f t="shared" si="4"/>
        <v>1219.54</v>
      </c>
      <c r="F141" s="13">
        <f t="shared" si="5"/>
        <v>1219.54</v>
      </c>
    </row>
    <row r="142" spans="1:6" x14ac:dyDescent="0.2">
      <c r="A142" s="9" t="s">
        <v>123</v>
      </c>
      <c r="B142" s="7">
        <v>2.2050000000000001</v>
      </c>
      <c r="C142" s="7">
        <v>2.12</v>
      </c>
      <c r="D142" s="7">
        <v>2.12</v>
      </c>
      <c r="E142" s="13">
        <f t="shared" si="4"/>
        <v>1191.44</v>
      </c>
      <c r="F142" s="13">
        <f t="shared" si="5"/>
        <v>1191.44</v>
      </c>
    </row>
    <row r="143" spans="1:6" x14ac:dyDescent="0.2">
      <c r="A143" s="9" t="s">
        <v>122</v>
      </c>
      <c r="B143" s="7">
        <v>2.1949999999999998</v>
      </c>
      <c r="C143" s="7">
        <v>2.1</v>
      </c>
      <c r="D143" s="7">
        <v>2.17</v>
      </c>
      <c r="E143" s="13">
        <f t="shared" si="4"/>
        <v>1219.54</v>
      </c>
      <c r="F143" s="13">
        <f t="shared" si="5"/>
        <v>1219.54</v>
      </c>
    </row>
    <row r="144" spans="1:6" x14ac:dyDescent="0.2">
      <c r="A144" s="9" t="s">
        <v>121</v>
      </c>
      <c r="B144" s="7">
        <v>2.17</v>
      </c>
      <c r="C144" s="7">
        <v>2.09</v>
      </c>
      <c r="D144" s="7">
        <v>2.12</v>
      </c>
      <c r="E144" s="13">
        <f t="shared" si="4"/>
        <v>1191.44</v>
      </c>
      <c r="F144" s="13">
        <f t="shared" si="5"/>
        <v>1191.44</v>
      </c>
    </row>
    <row r="145" spans="1:6" x14ac:dyDescent="0.2">
      <c r="A145" s="9" t="s">
        <v>120</v>
      </c>
      <c r="B145" s="7">
        <v>2.14</v>
      </c>
      <c r="C145" s="7">
        <v>2.0299999999999998</v>
      </c>
      <c r="D145" s="7">
        <v>2.0699999999999998</v>
      </c>
      <c r="E145" s="13">
        <f t="shared" si="4"/>
        <v>1163.3399999999999</v>
      </c>
      <c r="F145" s="13">
        <f t="shared" si="5"/>
        <v>1163.3399999999999</v>
      </c>
    </row>
    <row r="146" spans="1:6" x14ac:dyDescent="0.2">
      <c r="A146" s="9" t="s">
        <v>119</v>
      </c>
      <c r="B146" s="7">
        <v>2.11</v>
      </c>
      <c r="C146" s="7">
        <v>2.0499999999999998</v>
      </c>
      <c r="D146" s="7">
        <v>2.06</v>
      </c>
      <c r="E146" s="13">
        <f t="shared" si="4"/>
        <v>1157.72</v>
      </c>
      <c r="F146" s="13">
        <f t="shared" si="5"/>
        <v>1157.72</v>
      </c>
    </row>
    <row r="147" spans="1:6" x14ac:dyDescent="0.2">
      <c r="A147" s="9" t="s">
        <v>118</v>
      </c>
      <c r="B147" s="7">
        <v>2.0499999999999998</v>
      </c>
      <c r="C147" s="7">
        <v>2</v>
      </c>
      <c r="D147" s="7">
        <v>2.02</v>
      </c>
      <c r="E147" s="13">
        <f t="shared" si="4"/>
        <v>1135.24</v>
      </c>
      <c r="F147" s="13">
        <f t="shared" si="5"/>
        <v>1135.24</v>
      </c>
    </row>
    <row r="148" spans="1:6" x14ac:dyDescent="0.2">
      <c r="A148" s="9" t="s">
        <v>117</v>
      </c>
      <c r="B148" s="7">
        <v>2.11</v>
      </c>
      <c r="C148" s="7">
        <v>2.0299999999999998</v>
      </c>
      <c r="D148" s="7">
        <v>2.09</v>
      </c>
      <c r="E148" s="13">
        <f t="shared" si="4"/>
        <v>1174.58</v>
      </c>
      <c r="F148" s="13">
        <f t="shared" si="5"/>
        <v>1174.58</v>
      </c>
    </row>
    <row r="149" spans="1:6" x14ac:dyDescent="0.2">
      <c r="A149" s="9" t="s">
        <v>116</v>
      </c>
      <c r="B149" s="7">
        <v>2.15</v>
      </c>
      <c r="C149" s="7">
        <v>2.08</v>
      </c>
      <c r="D149" s="7">
        <v>2.11</v>
      </c>
      <c r="E149" s="13">
        <f t="shared" si="4"/>
        <v>1185.82</v>
      </c>
      <c r="F149" s="13">
        <f t="shared" si="5"/>
        <v>1185.82</v>
      </c>
    </row>
    <row r="150" spans="1:6" x14ac:dyDescent="0.2">
      <c r="A150" s="9" t="s">
        <v>115</v>
      </c>
      <c r="B150" s="7">
        <v>2.15</v>
      </c>
      <c r="C150" s="7">
        <v>2.0299999999999998</v>
      </c>
      <c r="D150" s="7">
        <v>2.12</v>
      </c>
      <c r="E150" s="13">
        <f t="shared" si="4"/>
        <v>1191.44</v>
      </c>
      <c r="F150" s="13">
        <f t="shared" si="5"/>
        <v>1191.44</v>
      </c>
    </row>
    <row r="151" spans="1:6" x14ac:dyDescent="0.2">
      <c r="A151" s="9" t="s">
        <v>114</v>
      </c>
      <c r="B151" s="7">
        <v>2.11</v>
      </c>
      <c r="C151" s="7">
        <v>2.04</v>
      </c>
      <c r="D151" s="7">
        <v>2.08</v>
      </c>
      <c r="E151" s="13">
        <f t="shared" si="4"/>
        <v>1168.96</v>
      </c>
      <c r="F151" s="13">
        <f t="shared" si="5"/>
        <v>1168.96</v>
      </c>
    </row>
    <row r="152" spans="1:6" x14ac:dyDescent="0.2">
      <c r="A152" s="9" t="s">
        <v>113</v>
      </c>
      <c r="B152" s="7">
        <v>2.0499999999999998</v>
      </c>
      <c r="C152" s="7">
        <v>2</v>
      </c>
      <c r="D152" s="7">
        <v>2.02</v>
      </c>
      <c r="E152" s="13">
        <f t="shared" si="4"/>
        <v>1135.24</v>
      </c>
      <c r="F152" s="13">
        <f t="shared" si="5"/>
        <v>1135.24</v>
      </c>
    </row>
    <row r="153" spans="1:6" x14ac:dyDescent="0.2">
      <c r="A153" s="9" t="s">
        <v>112</v>
      </c>
      <c r="B153" s="7">
        <v>2.04</v>
      </c>
      <c r="C153" s="7">
        <v>1.9750000000000001</v>
      </c>
      <c r="D153" s="7">
        <v>2.0299999999999998</v>
      </c>
      <c r="E153" s="13">
        <f t="shared" si="4"/>
        <v>1140.8599999999999</v>
      </c>
      <c r="F153" s="13">
        <f t="shared" si="5"/>
        <v>1140.8599999999999</v>
      </c>
    </row>
    <row r="154" spans="1:6" x14ac:dyDescent="0.2">
      <c r="A154" s="9" t="s">
        <v>111</v>
      </c>
      <c r="B154" s="7">
        <v>2.0099999999999998</v>
      </c>
      <c r="C154" s="7">
        <v>1.9650000000000001</v>
      </c>
      <c r="D154" s="7">
        <v>1.9850000000000001</v>
      </c>
      <c r="E154" s="13">
        <f t="shared" si="4"/>
        <v>1115.5700000000002</v>
      </c>
      <c r="F154" s="13">
        <f t="shared" si="5"/>
        <v>1115.5700000000002</v>
      </c>
    </row>
    <row r="155" spans="1:6" x14ac:dyDescent="0.2">
      <c r="A155" s="9" t="s">
        <v>110</v>
      </c>
      <c r="B155" s="7">
        <v>2.085</v>
      </c>
      <c r="C155" s="7">
        <v>2.04</v>
      </c>
      <c r="D155" s="7">
        <v>2.06</v>
      </c>
      <c r="E155" s="13">
        <f t="shared" si="4"/>
        <v>1157.72</v>
      </c>
      <c r="F155" s="13">
        <f t="shared" si="5"/>
        <v>1157.72</v>
      </c>
    </row>
    <row r="156" spans="1:6" x14ac:dyDescent="0.2">
      <c r="A156" s="9" t="s">
        <v>109</v>
      </c>
      <c r="B156" s="7">
        <v>2.08</v>
      </c>
      <c r="C156" s="7">
        <v>2</v>
      </c>
      <c r="D156" s="7">
        <v>2.04</v>
      </c>
      <c r="E156" s="13">
        <f t="shared" si="4"/>
        <v>1146.48</v>
      </c>
      <c r="F156" s="13">
        <f t="shared" si="5"/>
        <v>1146.48</v>
      </c>
    </row>
    <row r="157" spans="1:6" x14ac:dyDescent="0.2">
      <c r="A157" s="9" t="s">
        <v>108</v>
      </c>
      <c r="B157" s="7">
        <v>2.21</v>
      </c>
      <c r="C157" s="7">
        <v>2.09</v>
      </c>
      <c r="D157" s="7">
        <v>2.21</v>
      </c>
      <c r="E157" s="13">
        <f t="shared" si="4"/>
        <v>1242.02</v>
      </c>
      <c r="F157" s="13">
        <f t="shared" si="5"/>
        <v>1242.02</v>
      </c>
    </row>
    <row r="158" spans="1:6" x14ac:dyDescent="0.2">
      <c r="A158" s="9" t="s">
        <v>107</v>
      </c>
      <c r="B158" s="7">
        <v>2.23</v>
      </c>
      <c r="C158" s="7">
        <v>2.1800000000000002</v>
      </c>
      <c r="D158" s="7">
        <v>2.2000000000000002</v>
      </c>
      <c r="E158" s="13">
        <f t="shared" si="4"/>
        <v>1236.4000000000001</v>
      </c>
      <c r="F158" s="13">
        <f t="shared" si="5"/>
        <v>1236.4000000000001</v>
      </c>
    </row>
    <row r="159" spans="1:6" x14ac:dyDescent="0.2">
      <c r="A159" s="9" t="s">
        <v>106</v>
      </c>
      <c r="B159" s="7">
        <v>2.2200000000000002</v>
      </c>
      <c r="C159" s="7">
        <v>2.1800000000000002</v>
      </c>
      <c r="D159" s="7">
        <v>2.1800000000000002</v>
      </c>
      <c r="E159" s="13">
        <f t="shared" si="4"/>
        <v>1225.1600000000001</v>
      </c>
      <c r="F159" s="13">
        <f t="shared" si="5"/>
        <v>1225.1600000000001</v>
      </c>
    </row>
    <row r="160" spans="1:6" x14ac:dyDescent="0.2">
      <c r="A160" s="9" t="s">
        <v>105</v>
      </c>
      <c r="B160" s="7">
        <v>2.25</v>
      </c>
      <c r="C160" s="7">
        <v>2.16</v>
      </c>
      <c r="D160" s="7">
        <v>2.2000000000000002</v>
      </c>
      <c r="E160" s="13">
        <f t="shared" si="4"/>
        <v>1236.4000000000001</v>
      </c>
      <c r="F160" s="13">
        <f t="shared" si="5"/>
        <v>1236.4000000000001</v>
      </c>
    </row>
    <row r="161" spans="1:6" x14ac:dyDescent="0.2">
      <c r="A161" s="9" t="s">
        <v>104</v>
      </c>
      <c r="B161" s="7">
        <v>2.27</v>
      </c>
      <c r="C161" s="7">
        <v>2.17</v>
      </c>
      <c r="D161" s="7">
        <v>2.17</v>
      </c>
      <c r="E161" s="13">
        <f t="shared" si="4"/>
        <v>1219.54</v>
      </c>
      <c r="F161" s="13">
        <f t="shared" si="5"/>
        <v>1219.54</v>
      </c>
    </row>
    <row r="162" spans="1:6" x14ac:dyDescent="0.2">
      <c r="A162" s="9" t="s">
        <v>103</v>
      </c>
      <c r="B162" s="7">
        <v>2.23</v>
      </c>
      <c r="C162" s="7">
        <v>2.1549999999999998</v>
      </c>
      <c r="D162" s="7">
        <v>2.1800000000000002</v>
      </c>
      <c r="E162" s="13">
        <f t="shared" si="4"/>
        <v>1225.1600000000001</v>
      </c>
      <c r="F162" s="13">
        <f t="shared" si="5"/>
        <v>1225.1600000000001</v>
      </c>
    </row>
    <row r="163" spans="1:6" x14ac:dyDescent="0.2">
      <c r="A163" s="9" t="s">
        <v>102</v>
      </c>
      <c r="B163" s="7">
        <v>2.2349999999999999</v>
      </c>
      <c r="C163" s="7">
        <v>2.16</v>
      </c>
      <c r="D163" s="7">
        <v>2.21</v>
      </c>
      <c r="E163" s="13">
        <f t="shared" si="4"/>
        <v>1242.02</v>
      </c>
      <c r="F163" s="13">
        <f t="shared" si="5"/>
        <v>1242.02</v>
      </c>
    </row>
    <row r="164" spans="1:6" x14ac:dyDescent="0.2">
      <c r="A164" s="9" t="s">
        <v>101</v>
      </c>
      <c r="B164" s="7">
        <v>2.2549999999999999</v>
      </c>
      <c r="C164" s="7">
        <v>2.19</v>
      </c>
      <c r="D164" s="7">
        <v>2.2200000000000002</v>
      </c>
      <c r="E164" s="13">
        <f t="shared" si="4"/>
        <v>1247.6400000000001</v>
      </c>
      <c r="F164" s="13">
        <f t="shared" si="5"/>
        <v>1247.6400000000001</v>
      </c>
    </row>
    <row r="165" spans="1:6" x14ac:dyDescent="0.2">
      <c r="A165" s="9" t="s">
        <v>100</v>
      </c>
      <c r="B165" s="7">
        <v>2.21</v>
      </c>
      <c r="C165" s="7">
        <v>2.16</v>
      </c>
      <c r="D165" s="7">
        <v>2.2000000000000002</v>
      </c>
      <c r="E165" s="13">
        <f t="shared" si="4"/>
        <v>1236.4000000000001</v>
      </c>
      <c r="F165" s="13">
        <f t="shared" si="5"/>
        <v>1236.4000000000001</v>
      </c>
    </row>
    <row r="166" spans="1:6" x14ac:dyDescent="0.2">
      <c r="A166" s="9" t="s">
        <v>99</v>
      </c>
      <c r="B166" s="7">
        <v>2.25</v>
      </c>
      <c r="C166" s="7">
        <v>2.19</v>
      </c>
      <c r="D166" s="7">
        <v>2.2000000000000002</v>
      </c>
      <c r="E166" s="13">
        <f t="shared" si="4"/>
        <v>1236.4000000000001</v>
      </c>
      <c r="F166" s="13">
        <f t="shared" si="5"/>
        <v>1236.4000000000001</v>
      </c>
    </row>
    <row r="167" spans="1:6" x14ac:dyDescent="0.2">
      <c r="A167" s="9" t="s">
        <v>98</v>
      </c>
      <c r="B167" s="7">
        <v>2.2200000000000002</v>
      </c>
      <c r="C167" s="7">
        <v>2.1800000000000002</v>
      </c>
      <c r="D167" s="7">
        <v>2.19</v>
      </c>
      <c r="E167" s="13">
        <f t="shared" si="4"/>
        <v>1230.78</v>
      </c>
      <c r="F167" s="13">
        <f t="shared" si="5"/>
        <v>1230.78</v>
      </c>
    </row>
    <row r="168" spans="1:6" x14ac:dyDescent="0.2">
      <c r="A168" s="9" t="s">
        <v>97</v>
      </c>
      <c r="B168" s="7">
        <v>2.25</v>
      </c>
      <c r="C168" s="7">
        <v>2.1850000000000001</v>
      </c>
      <c r="D168" s="7">
        <v>2.19</v>
      </c>
      <c r="E168" s="13">
        <f t="shared" si="4"/>
        <v>1230.78</v>
      </c>
      <c r="F168" s="13">
        <f t="shared" si="5"/>
        <v>1230.78</v>
      </c>
    </row>
    <row r="169" spans="1:6" x14ac:dyDescent="0.2">
      <c r="A169" s="9" t="s">
        <v>96</v>
      </c>
      <c r="B169" s="7">
        <v>2.1800000000000002</v>
      </c>
      <c r="C169" s="7">
        <v>2.0699999999999998</v>
      </c>
      <c r="D169" s="7">
        <v>2.14</v>
      </c>
      <c r="E169" s="13">
        <f t="shared" si="4"/>
        <v>1202.68</v>
      </c>
      <c r="F169" s="13">
        <f t="shared" si="5"/>
        <v>1202.68</v>
      </c>
    </row>
    <row r="170" spans="1:6" x14ac:dyDescent="0.2">
      <c r="A170" s="9" t="s">
        <v>95</v>
      </c>
      <c r="B170" s="7">
        <v>2.27</v>
      </c>
      <c r="C170" s="7">
        <v>2.13</v>
      </c>
      <c r="D170" s="7">
        <v>2.27</v>
      </c>
      <c r="E170" s="13">
        <f t="shared" si="4"/>
        <v>1275.74</v>
      </c>
      <c r="F170" s="13">
        <f t="shared" si="5"/>
        <v>1275.74</v>
      </c>
    </row>
    <row r="171" spans="1:6" x14ac:dyDescent="0.2">
      <c r="A171" s="9" t="s">
        <v>94</v>
      </c>
      <c r="B171" s="7">
        <v>2.21</v>
      </c>
      <c r="C171" s="7">
        <v>2.12</v>
      </c>
      <c r="D171" s="7">
        <v>2.2000000000000002</v>
      </c>
      <c r="E171" s="13">
        <f t="shared" si="4"/>
        <v>1236.4000000000001</v>
      </c>
      <c r="F171" s="13">
        <f t="shared" si="5"/>
        <v>1236.4000000000001</v>
      </c>
    </row>
    <row r="172" spans="1:6" x14ac:dyDescent="0.2">
      <c r="A172" s="9" t="s">
        <v>93</v>
      </c>
      <c r="B172" s="7">
        <v>2.23</v>
      </c>
      <c r="C172" s="7">
        <v>2.17</v>
      </c>
      <c r="D172" s="7">
        <v>2.19</v>
      </c>
      <c r="E172" s="13">
        <f t="shared" si="4"/>
        <v>1230.78</v>
      </c>
      <c r="F172" s="13">
        <f t="shared" si="5"/>
        <v>1230.78</v>
      </c>
    </row>
    <row r="173" spans="1:6" x14ac:dyDescent="0.2">
      <c r="A173" s="9" t="s">
        <v>92</v>
      </c>
      <c r="B173" s="7">
        <v>2.16</v>
      </c>
      <c r="C173" s="7">
        <v>2.0449999999999999</v>
      </c>
      <c r="D173" s="7">
        <v>2.0699999999999998</v>
      </c>
      <c r="E173" s="13">
        <f t="shared" si="4"/>
        <v>1163.3399999999999</v>
      </c>
      <c r="F173" s="13">
        <f t="shared" si="5"/>
        <v>1163.3399999999999</v>
      </c>
    </row>
    <row r="174" spans="1:6" x14ac:dyDescent="0.2">
      <c r="A174" s="9" t="s">
        <v>91</v>
      </c>
      <c r="B174" s="7">
        <v>2.15</v>
      </c>
      <c r="C174" s="7">
        <v>2.0699999999999998</v>
      </c>
      <c r="D174" s="7">
        <v>2.14</v>
      </c>
      <c r="E174" s="13">
        <f t="shared" si="4"/>
        <v>1202.68</v>
      </c>
      <c r="F174" s="13">
        <f t="shared" si="5"/>
        <v>1202.68</v>
      </c>
    </row>
    <row r="175" spans="1:6" x14ac:dyDescent="0.2">
      <c r="A175" s="9" t="s">
        <v>90</v>
      </c>
      <c r="B175" s="7">
        <v>2.19</v>
      </c>
      <c r="C175" s="7">
        <v>2.09</v>
      </c>
      <c r="D175" s="7">
        <v>2.1800000000000002</v>
      </c>
      <c r="E175" s="13">
        <f t="shared" si="4"/>
        <v>1225.1600000000001</v>
      </c>
      <c r="F175" s="13">
        <f t="shared" si="5"/>
        <v>1225.1600000000001</v>
      </c>
    </row>
    <row r="176" spans="1:6" x14ac:dyDescent="0.2">
      <c r="A176" s="9" t="s">
        <v>89</v>
      </c>
      <c r="B176" s="7">
        <v>2.14</v>
      </c>
      <c r="C176" s="7">
        <v>2.0699999999999998</v>
      </c>
      <c r="D176" s="7">
        <v>2.0699999999999998</v>
      </c>
      <c r="E176" s="13">
        <f t="shared" si="4"/>
        <v>1163.3399999999999</v>
      </c>
      <c r="F176" s="13">
        <f t="shared" si="5"/>
        <v>1163.3399999999999</v>
      </c>
    </row>
    <row r="177" spans="1:6" x14ac:dyDescent="0.2">
      <c r="A177" s="9" t="s">
        <v>88</v>
      </c>
      <c r="B177" s="7">
        <v>2.1150000000000002</v>
      </c>
      <c r="C177" s="7">
        <v>2.09</v>
      </c>
      <c r="D177" s="7">
        <v>2.11</v>
      </c>
      <c r="E177" s="13">
        <f t="shared" si="4"/>
        <v>1185.82</v>
      </c>
      <c r="F177" s="13">
        <f t="shared" si="5"/>
        <v>1185.82</v>
      </c>
    </row>
    <row r="178" spans="1:6" x14ac:dyDescent="0.2">
      <c r="A178" s="9" t="s">
        <v>87</v>
      </c>
      <c r="B178" s="7">
        <v>2.1800000000000002</v>
      </c>
      <c r="C178" s="7">
        <v>2.11</v>
      </c>
      <c r="D178" s="7">
        <v>2.11</v>
      </c>
      <c r="E178" s="13">
        <f t="shared" si="4"/>
        <v>1185.82</v>
      </c>
      <c r="F178" s="13">
        <f t="shared" si="5"/>
        <v>1185.82</v>
      </c>
    </row>
    <row r="179" spans="1:6" x14ac:dyDescent="0.2">
      <c r="A179" s="9" t="s">
        <v>86</v>
      </c>
      <c r="B179" s="7">
        <v>2.16</v>
      </c>
      <c r="C179" s="7">
        <v>2.12</v>
      </c>
      <c r="D179" s="7">
        <v>2.15</v>
      </c>
      <c r="E179" s="13">
        <f t="shared" si="4"/>
        <v>1208.3</v>
      </c>
      <c r="F179" s="13">
        <f t="shared" si="5"/>
        <v>1208.3</v>
      </c>
    </row>
    <row r="180" spans="1:6" x14ac:dyDescent="0.2">
      <c r="A180" s="9" t="s">
        <v>85</v>
      </c>
      <c r="B180" s="7">
        <v>2.2400000000000002</v>
      </c>
      <c r="C180" s="7">
        <v>2.1800000000000002</v>
      </c>
      <c r="D180" s="7">
        <v>2.2000000000000002</v>
      </c>
      <c r="E180" s="13">
        <f t="shared" si="4"/>
        <v>1236.4000000000001</v>
      </c>
      <c r="F180" s="13">
        <f t="shared" si="5"/>
        <v>1236.4000000000001</v>
      </c>
    </row>
    <row r="181" spans="1:6" x14ac:dyDescent="0.2">
      <c r="A181" s="9" t="s">
        <v>84</v>
      </c>
      <c r="B181" s="7">
        <v>2.2200000000000002</v>
      </c>
      <c r="C181" s="7">
        <v>2.16</v>
      </c>
      <c r="D181" s="7">
        <v>2.17</v>
      </c>
      <c r="E181" s="13">
        <f t="shared" si="4"/>
        <v>1219.54</v>
      </c>
      <c r="F181" s="13">
        <f t="shared" si="5"/>
        <v>1219.54</v>
      </c>
    </row>
    <row r="182" spans="1:6" x14ac:dyDescent="0.2">
      <c r="A182" s="9" t="s">
        <v>83</v>
      </c>
      <c r="B182" s="7">
        <v>2.2050000000000001</v>
      </c>
      <c r="C182" s="7">
        <v>2.09</v>
      </c>
      <c r="D182" s="7">
        <v>2.11</v>
      </c>
      <c r="E182" s="13">
        <f t="shared" si="4"/>
        <v>1185.82</v>
      </c>
      <c r="F182" s="13">
        <f t="shared" si="5"/>
        <v>1185.82</v>
      </c>
    </row>
    <row r="183" spans="1:6" x14ac:dyDescent="0.2">
      <c r="A183" s="9" t="s">
        <v>82</v>
      </c>
      <c r="B183" s="7">
        <v>2.12</v>
      </c>
      <c r="C183" s="7">
        <v>2.0499999999999998</v>
      </c>
      <c r="D183" s="7">
        <v>2.1</v>
      </c>
      <c r="E183" s="13">
        <f t="shared" si="4"/>
        <v>1180.2</v>
      </c>
      <c r="F183" s="13">
        <f t="shared" si="5"/>
        <v>1180.2</v>
      </c>
    </row>
    <row r="184" spans="1:6" x14ac:dyDescent="0.2">
      <c r="A184" s="9" t="s">
        <v>81</v>
      </c>
      <c r="B184" s="7">
        <v>2.14</v>
      </c>
      <c r="C184" s="7">
        <v>2.06</v>
      </c>
      <c r="D184" s="7">
        <v>2.12</v>
      </c>
      <c r="E184" s="13">
        <f t="shared" si="4"/>
        <v>1191.44</v>
      </c>
      <c r="F184" s="13">
        <f t="shared" si="5"/>
        <v>1191.44</v>
      </c>
    </row>
    <row r="185" spans="1:6" x14ac:dyDescent="0.2">
      <c r="A185" s="9" t="s">
        <v>80</v>
      </c>
      <c r="B185" s="7">
        <v>2.19</v>
      </c>
      <c r="C185" s="7">
        <v>2.11</v>
      </c>
      <c r="D185" s="7">
        <v>2.11</v>
      </c>
      <c r="E185" s="13">
        <f t="shared" si="4"/>
        <v>1185.82</v>
      </c>
      <c r="F185" s="13">
        <f t="shared" si="5"/>
        <v>1185.82</v>
      </c>
    </row>
    <row r="186" spans="1:6" x14ac:dyDescent="0.2">
      <c r="A186" s="9" t="s">
        <v>79</v>
      </c>
      <c r="B186" s="7">
        <v>2.16</v>
      </c>
      <c r="C186" s="7">
        <v>2.0699999999999998</v>
      </c>
      <c r="D186" s="7">
        <v>2.11</v>
      </c>
      <c r="E186" s="13">
        <f t="shared" si="4"/>
        <v>1185.82</v>
      </c>
      <c r="F186" s="13">
        <f t="shared" si="5"/>
        <v>1185.82</v>
      </c>
    </row>
    <row r="187" spans="1:6" x14ac:dyDescent="0.2">
      <c r="A187" s="9" t="s">
        <v>78</v>
      </c>
      <c r="B187" s="7">
        <v>2.1</v>
      </c>
      <c r="C187" s="7">
        <v>2.0499999999999998</v>
      </c>
      <c r="D187" s="7">
        <v>2.0699999999999998</v>
      </c>
      <c r="E187" s="13">
        <f t="shared" si="4"/>
        <v>1163.3399999999999</v>
      </c>
      <c r="F187" s="13">
        <f t="shared" si="5"/>
        <v>1163.3399999999999</v>
      </c>
    </row>
    <row r="188" spans="1:6" x14ac:dyDescent="0.2">
      <c r="A188" s="9" t="s">
        <v>77</v>
      </c>
      <c r="B188" s="7">
        <v>2.1850000000000001</v>
      </c>
      <c r="C188" s="7">
        <v>2.1</v>
      </c>
      <c r="D188" s="7">
        <v>2.1</v>
      </c>
      <c r="E188" s="13">
        <f t="shared" si="4"/>
        <v>1180.2</v>
      </c>
      <c r="F188" s="13">
        <f t="shared" si="5"/>
        <v>1180.2</v>
      </c>
    </row>
    <row r="189" spans="1:6" x14ac:dyDescent="0.2">
      <c r="A189" s="9" t="s">
        <v>76</v>
      </c>
      <c r="B189" s="7">
        <v>2.15</v>
      </c>
      <c r="C189" s="7">
        <v>2.09</v>
      </c>
      <c r="D189" s="7">
        <v>2.15</v>
      </c>
      <c r="E189" s="13">
        <f t="shared" si="4"/>
        <v>1208.3</v>
      </c>
      <c r="F189" s="13">
        <f t="shared" si="5"/>
        <v>1208.3</v>
      </c>
    </row>
    <row r="190" spans="1:6" x14ac:dyDescent="0.2">
      <c r="A190" s="9" t="s">
        <v>75</v>
      </c>
      <c r="B190" s="7">
        <v>2.15</v>
      </c>
      <c r="C190" s="7">
        <v>2.09</v>
      </c>
      <c r="D190" s="7">
        <v>2.15</v>
      </c>
      <c r="E190" s="13">
        <f t="shared" si="4"/>
        <v>1208.3</v>
      </c>
      <c r="F190" s="13">
        <f t="shared" si="5"/>
        <v>1208.3</v>
      </c>
    </row>
    <row r="191" spans="1:6" x14ac:dyDescent="0.2">
      <c r="A191" s="9" t="s">
        <v>74</v>
      </c>
      <c r="B191" s="7">
        <v>2.14</v>
      </c>
      <c r="C191" s="7">
        <v>2.0299999999999998</v>
      </c>
      <c r="D191" s="7">
        <v>2.06</v>
      </c>
      <c r="E191" s="13">
        <f t="shared" si="4"/>
        <v>1157.72</v>
      </c>
      <c r="F191" s="13">
        <f t="shared" si="5"/>
        <v>1157.72</v>
      </c>
    </row>
    <row r="192" spans="1:6" x14ac:dyDescent="0.2">
      <c r="A192" s="9" t="s">
        <v>73</v>
      </c>
      <c r="B192" s="7">
        <v>2.0499999999999998</v>
      </c>
      <c r="C192" s="7">
        <v>2.0099999999999998</v>
      </c>
      <c r="D192" s="7">
        <v>2.04</v>
      </c>
      <c r="E192" s="13">
        <f t="shared" si="4"/>
        <v>1146.48</v>
      </c>
      <c r="F192" s="13">
        <f t="shared" si="5"/>
        <v>1146.48</v>
      </c>
    </row>
    <row r="193" spans="1:6" x14ac:dyDescent="0.2">
      <c r="A193" s="9" t="s">
        <v>72</v>
      </c>
      <c r="B193" s="7">
        <v>2.125</v>
      </c>
      <c r="C193" s="7">
        <v>2.0699999999999998</v>
      </c>
      <c r="D193" s="7">
        <v>2.09</v>
      </c>
      <c r="E193" s="13">
        <f t="shared" si="4"/>
        <v>1174.58</v>
      </c>
      <c r="F193" s="13">
        <f t="shared" si="5"/>
        <v>1174.58</v>
      </c>
    </row>
    <row r="194" spans="1:6" x14ac:dyDescent="0.2">
      <c r="A194" s="9" t="s">
        <v>71</v>
      </c>
      <c r="B194" s="7">
        <v>2.08</v>
      </c>
      <c r="C194" s="7">
        <v>2</v>
      </c>
      <c r="D194" s="7">
        <v>2.02</v>
      </c>
      <c r="E194" s="13">
        <f t="shared" si="4"/>
        <v>1135.24</v>
      </c>
      <c r="F194" s="13">
        <f t="shared" si="5"/>
        <v>1135.24</v>
      </c>
    </row>
    <row r="195" spans="1:6" x14ac:dyDescent="0.2">
      <c r="A195" s="9" t="s">
        <v>70</v>
      </c>
      <c r="B195" s="7">
        <v>2.0449999999999999</v>
      </c>
      <c r="C195" s="7">
        <v>1.98</v>
      </c>
      <c r="D195" s="7">
        <v>2.04</v>
      </c>
      <c r="E195" s="13">
        <f t="shared" si="4"/>
        <v>1146.48</v>
      </c>
      <c r="F195" s="13">
        <f t="shared" si="5"/>
        <v>1146.48</v>
      </c>
    </row>
    <row r="196" spans="1:6" x14ac:dyDescent="0.2">
      <c r="A196" s="9" t="s">
        <v>69</v>
      </c>
      <c r="B196" s="7">
        <v>2.04</v>
      </c>
      <c r="C196" s="7">
        <v>1.98</v>
      </c>
      <c r="D196" s="7">
        <v>2.02</v>
      </c>
      <c r="E196" s="13">
        <f t="shared" ref="E196:E255" si="6">562*D196</f>
        <v>1135.24</v>
      </c>
      <c r="F196" s="13">
        <f t="shared" ref="F196:F255" si="7">E196+L195</f>
        <v>1135.24</v>
      </c>
    </row>
    <row r="197" spans="1:6" x14ac:dyDescent="0.2">
      <c r="A197" s="9" t="s">
        <v>68</v>
      </c>
      <c r="B197" s="7">
        <v>2.0299999999999998</v>
      </c>
      <c r="C197" s="7">
        <v>1.99</v>
      </c>
      <c r="D197" s="7">
        <v>2.0099999999999998</v>
      </c>
      <c r="E197" s="13">
        <f t="shared" si="6"/>
        <v>1129.6199999999999</v>
      </c>
      <c r="F197" s="13">
        <f t="shared" si="7"/>
        <v>1129.6199999999999</v>
      </c>
    </row>
    <row r="198" spans="1:6" x14ac:dyDescent="0.2">
      <c r="A198" s="9" t="s">
        <v>67</v>
      </c>
      <c r="B198" s="7">
        <v>2.0299999999999998</v>
      </c>
      <c r="C198" s="7">
        <v>1.98</v>
      </c>
      <c r="D198" s="7">
        <v>1.9950000000000001</v>
      </c>
      <c r="E198" s="13">
        <f t="shared" si="6"/>
        <v>1121.19</v>
      </c>
      <c r="F198" s="13">
        <f t="shared" si="7"/>
        <v>1121.19</v>
      </c>
    </row>
    <row r="199" spans="1:6" x14ac:dyDescent="0.2">
      <c r="A199" s="9" t="s">
        <v>66</v>
      </c>
      <c r="B199" s="7">
        <v>2.0350000000000001</v>
      </c>
      <c r="C199" s="7">
        <v>2.0049999999999999</v>
      </c>
      <c r="D199" s="7">
        <v>2.0299999999999998</v>
      </c>
      <c r="E199" s="13">
        <f t="shared" si="6"/>
        <v>1140.8599999999999</v>
      </c>
      <c r="F199" s="13">
        <f t="shared" si="7"/>
        <v>1140.8599999999999</v>
      </c>
    </row>
    <row r="200" spans="1:6" x14ac:dyDescent="0.2">
      <c r="A200" s="9" t="s">
        <v>65</v>
      </c>
      <c r="B200" s="7">
        <v>2.1</v>
      </c>
      <c r="C200" s="7">
        <v>2.0499999999999998</v>
      </c>
      <c r="D200" s="7">
        <v>2.0699999999999998</v>
      </c>
      <c r="E200" s="13">
        <f t="shared" si="6"/>
        <v>1163.3399999999999</v>
      </c>
      <c r="F200" s="13">
        <f t="shared" si="7"/>
        <v>1163.3399999999999</v>
      </c>
    </row>
    <row r="201" spans="1:6" x14ac:dyDescent="0.2">
      <c r="A201" s="9" t="s">
        <v>64</v>
      </c>
      <c r="B201" s="7">
        <v>2.09</v>
      </c>
      <c r="C201" s="7">
        <v>2.04</v>
      </c>
      <c r="D201" s="7">
        <v>2.0499999999999998</v>
      </c>
      <c r="E201" s="13">
        <f t="shared" si="6"/>
        <v>1152.0999999999999</v>
      </c>
      <c r="F201" s="13">
        <f t="shared" si="7"/>
        <v>1152.0999999999999</v>
      </c>
    </row>
    <row r="202" spans="1:6" x14ac:dyDescent="0.2">
      <c r="A202" s="9" t="s">
        <v>63</v>
      </c>
      <c r="B202" s="7">
        <v>2.13</v>
      </c>
      <c r="C202" s="7">
        <v>2.0699999999999998</v>
      </c>
      <c r="D202" s="7">
        <v>2.08</v>
      </c>
      <c r="E202" s="13">
        <f t="shared" si="6"/>
        <v>1168.96</v>
      </c>
      <c r="F202" s="13">
        <f t="shared" si="7"/>
        <v>1168.96</v>
      </c>
    </row>
    <row r="203" spans="1:6" x14ac:dyDescent="0.2">
      <c r="A203" s="9" t="s">
        <v>62</v>
      </c>
      <c r="B203" s="7">
        <v>2.19</v>
      </c>
      <c r="C203" s="7">
        <v>2.11</v>
      </c>
      <c r="D203" s="7">
        <v>2.19</v>
      </c>
      <c r="E203" s="13">
        <f t="shared" si="6"/>
        <v>1230.78</v>
      </c>
      <c r="F203" s="13">
        <f t="shared" si="7"/>
        <v>1230.78</v>
      </c>
    </row>
    <row r="204" spans="1:6" x14ac:dyDescent="0.2">
      <c r="A204" s="9" t="s">
        <v>61</v>
      </c>
      <c r="B204" s="7">
        <v>2.3199999999999998</v>
      </c>
      <c r="C204" s="7">
        <v>2.2000000000000002</v>
      </c>
      <c r="D204" s="7">
        <v>2.3199999999999998</v>
      </c>
      <c r="E204" s="13">
        <f t="shared" si="6"/>
        <v>1303.8399999999999</v>
      </c>
      <c r="F204" s="13">
        <f t="shared" si="7"/>
        <v>1303.8399999999999</v>
      </c>
    </row>
    <row r="205" spans="1:6" x14ac:dyDescent="0.2">
      <c r="A205" s="9" t="s">
        <v>60</v>
      </c>
      <c r="B205" s="7">
        <v>2.3199999999999998</v>
      </c>
      <c r="C205" s="7">
        <v>2.2549999999999999</v>
      </c>
      <c r="D205" s="7">
        <v>2.2999999999999998</v>
      </c>
      <c r="E205" s="13">
        <f t="shared" si="6"/>
        <v>1292.5999999999999</v>
      </c>
      <c r="F205" s="13">
        <f t="shared" si="7"/>
        <v>1292.5999999999999</v>
      </c>
    </row>
    <row r="206" spans="1:6" x14ac:dyDescent="0.2">
      <c r="A206" s="9" t="s">
        <v>59</v>
      </c>
      <c r="B206" s="7">
        <v>2.4750000000000001</v>
      </c>
      <c r="C206" s="7">
        <v>2.375</v>
      </c>
      <c r="D206" s="7">
        <v>2.4700000000000002</v>
      </c>
      <c r="E206" s="13">
        <f t="shared" si="6"/>
        <v>1388.14</v>
      </c>
      <c r="F206" s="13">
        <f t="shared" si="7"/>
        <v>1388.14</v>
      </c>
    </row>
    <row r="207" spans="1:6" x14ac:dyDescent="0.2">
      <c r="A207" s="9" t="s">
        <v>58</v>
      </c>
      <c r="B207" s="7">
        <v>2.4900000000000002</v>
      </c>
      <c r="C207" s="7">
        <v>2.3849999999999998</v>
      </c>
      <c r="D207" s="7">
        <v>2.4900000000000002</v>
      </c>
      <c r="E207" s="13">
        <f t="shared" si="6"/>
        <v>1399.38</v>
      </c>
      <c r="F207" s="13">
        <f t="shared" si="7"/>
        <v>1399.38</v>
      </c>
    </row>
    <row r="208" spans="1:6" x14ac:dyDescent="0.2">
      <c r="A208" s="9" t="s">
        <v>57</v>
      </c>
      <c r="B208" s="7">
        <v>2.5750000000000002</v>
      </c>
      <c r="C208" s="7">
        <v>2.46</v>
      </c>
      <c r="D208" s="7">
        <v>2.56</v>
      </c>
      <c r="E208" s="13">
        <f t="shared" si="6"/>
        <v>1438.72</v>
      </c>
      <c r="F208" s="13">
        <f t="shared" si="7"/>
        <v>1438.72</v>
      </c>
    </row>
    <row r="209" spans="1:6" x14ac:dyDescent="0.2">
      <c r="A209" s="9" t="s">
        <v>56</v>
      </c>
      <c r="B209" s="7">
        <v>2.52</v>
      </c>
      <c r="C209" s="7">
        <v>2.4300000000000002</v>
      </c>
      <c r="D209" s="7">
        <v>2.4900000000000002</v>
      </c>
      <c r="E209" s="13">
        <f t="shared" si="6"/>
        <v>1399.38</v>
      </c>
      <c r="F209" s="13">
        <f t="shared" si="7"/>
        <v>1399.38</v>
      </c>
    </row>
    <row r="210" spans="1:6" x14ac:dyDescent="0.2">
      <c r="A210" s="9" t="s">
        <v>55</v>
      </c>
      <c r="B210" s="7">
        <v>2.5299999999999998</v>
      </c>
      <c r="C210" s="7">
        <v>2.4500000000000002</v>
      </c>
      <c r="D210" s="7">
        <v>2.5299999999999998</v>
      </c>
      <c r="E210" s="13">
        <f t="shared" si="6"/>
        <v>1421.86</v>
      </c>
      <c r="F210" s="13">
        <f t="shared" si="7"/>
        <v>1421.86</v>
      </c>
    </row>
    <row r="211" spans="1:6" x14ac:dyDescent="0.2">
      <c r="A211" s="9" t="s">
        <v>54</v>
      </c>
      <c r="B211" s="7">
        <v>2.5049999999999999</v>
      </c>
      <c r="C211" s="7">
        <v>2.42</v>
      </c>
      <c r="D211" s="7">
        <v>2.44</v>
      </c>
      <c r="E211" s="13">
        <f t="shared" si="6"/>
        <v>1371.28</v>
      </c>
      <c r="F211" s="13">
        <f t="shared" si="7"/>
        <v>1371.28</v>
      </c>
    </row>
    <row r="212" spans="1:6" x14ac:dyDescent="0.2">
      <c r="A212" s="9" t="s">
        <v>53</v>
      </c>
      <c r="B212" s="7">
        <v>2.4950000000000001</v>
      </c>
      <c r="C212" s="7">
        <v>2.42</v>
      </c>
      <c r="D212" s="7">
        <v>2.4700000000000002</v>
      </c>
      <c r="E212" s="13">
        <f t="shared" si="6"/>
        <v>1388.14</v>
      </c>
      <c r="F212" s="13">
        <f t="shared" si="7"/>
        <v>1388.14</v>
      </c>
    </row>
    <row r="213" spans="1:6" x14ac:dyDescent="0.2">
      <c r="A213" s="9" t="s">
        <v>52</v>
      </c>
      <c r="B213" s="7">
        <v>2.5049999999999999</v>
      </c>
      <c r="C213" s="7">
        <v>2.39</v>
      </c>
      <c r="D213" s="7">
        <v>2.44</v>
      </c>
      <c r="E213" s="13">
        <f t="shared" si="6"/>
        <v>1371.28</v>
      </c>
      <c r="F213" s="13">
        <f t="shared" si="7"/>
        <v>1371.28</v>
      </c>
    </row>
    <row r="214" spans="1:6" x14ac:dyDescent="0.2">
      <c r="A214" s="9" t="s">
        <v>51</v>
      </c>
      <c r="B214" s="7">
        <v>2.46</v>
      </c>
      <c r="C214" s="7">
        <v>2.38</v>
      </c>
      <c r="D214" s="7">
        <v>2.4500000000000002</v>
      </c>
      <c r="E214" s="13">
        <f t="shared" si="6"/>
        <v>1376.9</v>
      </c>
      <c r="F214" s="13">
        <f t="shared" si="7"/>
        <v>1376.9</v>
      </c>
    </row>
    <row r="215" spans="1:6" x14ac:dyDescent="0.2">
      <c r="A215" s="9" t="s">
        <v>50</v>
      </c>
      <c r="B215" s="7">
        <v>2.4</v>
      </c>
      <c r="C215" s="7">
        <v>2.33</v>
      </c>
      <c r="D215" s="7">
        <v>2.34</v>
      </c>
      <c r="E215" s="13">
        <f t="shared" si="6"/>
        <v>1315.08</v>
      </c>
      <c r="F215" s="13">
        <f t="shared" si="7"/>
        <v>1315.08</v>
      </c>
    </row>
    <row r="216" spans="1:6" x14ac:dyDescent="0.2">
      <c r="A216" s="9" t="s">
        <v>49</v>
      </c>
      <c r="B216" s="7">
        <v>2.36</v>
      </c>
      <c r="C216" s="7">
        <v>2.2999999999999998</v>
      </c>
      <c r="D216" s="7">
        <v>2.3199999999999998</v>
      </c>
      <c r="E216" s="13">
        <f t="shared" si="6"/>
        <v>1303.8399999999999</v>
      </c>
      <c r="F216" s="13">
        <f t="shared" si="7"/>
        <v>1303.8399999999999</v>
      </c>
    </row>
    <row r="217" spans="1:6" x14ac:dyDescent="0.2">
      <c r="A217" s="9" t="s">
        <v>48</v>
      </c>
      <c r="B217" s="7">
        <v>2.31</v>
      </c>
      <c r="C217" s="7">
        <v>2.25</v>
      </c>
      <c r="D217" s="7">
        <v>2.2599999999999998</v>
      </c>
      <c r="E217" s="13">
        <f t="shared" si="6"/>
        <v>1270.1199999999999</v>
      </c>
      <c r="F217" s="13">
        <f t="shared" si="7"/>
        <v>1270.1199999999999</v>
      </c>
    </row>
    <row r="218" spans="1:6" x14ac:dyDescent="0.2">
      <c r="A218" s="9" t="s">
        <v>47</v>
      </c>
      <c r="B218" s="7">
        <v>2.2999999999999998</v>
      </c>
      <c r="C218" s="7">
        <v>2.19</v>
      </c>
      <c r="D218" s="7">
        <v>2.23</v>
      </c>
      <c r="E218" s="13">
        <f t="shared" si="6"/>
        <v>1253.26</v>
      </c>
      <c r="F218" s="13">
        <f t="shared" si="7"/>
        <v>1253.26</v>
      </c>
    </row>
    <row r="219" spans="1:6" x14ac:dyDescent="0.2">
      <c r="A219" s="9" t="s">
        <v>46</v>
      </c>
      <c r="B219" s="7">
        <v>2.17</v>
      </c>
      <c r="C219" s="7">
        <v>2.09</v>
      </c>
      <c r="D219" s="7">
        <v>2.14</v>
      </c>
      <c r="E219" s="13">
        <f t="shared" si="6"/>
        <v>1202.68</v>
      </c>
      <c r="F219" s="13">
        <f t="shared" si="7"/>
        <v>1202.68</v>
      </c>
    </row>
    <row r="220" spans="1:6" x14ac:dyDescent="0.2">
      <c r="A220" s="9" t="s">
        <v>45</v>
      </c>
      <c r="B220" s="7">
        <v>2.2599999999999998</v>
      </c>
      <c r="C220" s="7">
        <v>2.1749999999999998</v>
      </c>
      <c r="D220" s="7">
        <v>2.2400000000000002</v>
      </c>
      <c r="E220" s="13">
        <f t="shared" si="6"/>
        <v>1258.8800000000001</v>
      </c>
      <c r="F220" s="13">
        <f t="shared" si="7"/>
        <v>1258.8800000000001</v>
      </c>
    </row>
    <row r="221" spans="1:6" x14ac:dyDescent="0.2">
      <c r="A221" s="9" t="s">
        <v>44</v>
      </c>
      <c r="B221" s="7">
        <v>2.35</v>
      </c>
      <c r="C221" s="7">
        <v>2.23</v>
      </c>
      <c r="D221" s="7">
        <v>2.33</v>
      </c>
      <c r="E221" s="13">
        <f t="shared" si="6"/>
        <v>1309.46</v>
      </c>
      <c r="F221" s="13">
        <f t="shared" si="7"/>
        <v>1309.46</v>
      </c>
    </row>
    <row r="222" spans="1:6" x14ac:dyDescent="0.2">
      <c r="A222" s="9" t="s">
        <v>43</v>
      </c>
      <c r="B222" s="7">
        <v>2.31</v>
      </c>
      <c r="C222" s="7">
        <v>2.2000000000000002</v>
      </c>
      <c r="D222" s="7">
        <v>2.2999999999999998</v>
      </c>
      <c r="E222" s="13">
        <f t="shared" si="6"/>
        <v>1292.5999999999999</v>
      </c>
      <c r="F222" s="13">
        <f t="shared" si="7"/>
        <v>1292.5999999999999</v>
      </c>
    </row>
    <row r="223" spans="1:6" x14ac:dyDescent="0.2">
      <c r="A223" s="9" t="s">
        <v>42</v>
      </c>
      <c r="B223" s="7">
        <v>2.335</v>
      </c>
      <c r="C223" s="7">
        <v>2.2599999999999998</v>
      </c>
      <c r="D223" s="7">
        <v>2.2999999999999998</v>
      </c>
      <c r="E223" s="13">
        <f t="shared" si="6"/>
        <v>1292.5999999999999</v>
      </c>
      <c r="F223" s="13">
        <f t="shared" si="7"/>
        <v>1292.5999999999999</v>
      </c>
    </row>
    <row r="224" spans="1:6" x14ac:dyDescent="0.2">
      <c r="A224" s="9" t="s">
        <v>41</v>
      </c>
      <c r="B224" s="7">
        <v>2.29</v>
      </c>
      <c r="C224" s="7">
        <v>2.21</v>
      </c>
      <c r="D224" s="7">
        <v>2.23</v>
      </c>
      <c r="E224" s="13">
        <f t="shared" si="6"/>
        <v>1253.26</v>
      </c>
      <c r="F224" s="13">
        <f t="shared" si="7"/>
        <v>1253.26</v>
      </c>
    </row>
    <row r="225" spans="1:6" x14ac:dyDescent="0.2">
      <c r="A225" s="9" t="s">
        <v>40</v>
      </c>
      <c r="B225" s="7">
        <v>2.31</v>
      </c>
      <c r="C225" s="7">
        <v>2.2400000000000002</v>
      </c>
      <c r="D225" s="7">
        <v>2.27</v>
      </c>
      <c r="E225" s="13">
        <f t="shared" si="6"/>
        <v>1275.74</v>
      </c>
      <c r="F225" s="13">
        <f t="shared" si="7"/>
        <v>1275.74</v>
      </c>
    </row>
    <row r="226" spans="1:6" x14ac:dyDescent="0.2">
      <c r="A226" s="9" t="s">
        <v>39</v>
      </c>
      <c r="B226" s="7">
        <v>2.36</v>
      </c>
      <c r="C226" s="7">
        <v>2.2599999999999998</v>
      </c>
      <c r="D226" s="7">
        <v>2.31</v>
      </c>
      <c r="E226" s="13">
        <f t="shared" si="6"/>
        <v>1298.22</v>
      </c>
      <c r="F226" s="13">
        <f t="shared" si="7"/>
        <v>1298.22</v>
      </c>
    </row>
    <row r="227" spans="1:6" x14ac:dyDescent="0.2">
      <c r="A227" s="9" t="s">
        <v>38</v>
      </c>
      <c r="B227" s="7">
        <v>2.4500000000000002</v>
      </c>
      <c r="C227" s="7">
        <v>2.34</v>
      </c>
      <c r="D227" s="7">
        <v>2.42</v>
      </c>
      <c r="E227" s="13">
        <f t="shared" si="6"/>
        <v>1360.04</v>
      </c>
      <c r="F227" s="13">
        <f t="shared" si="7"/>
        <v>1360.04</v>
      </c>
    </row>
    <row r="228" spans="1:6" x14ac:dyDescent="0.2">
      <c r="A228" s="9" t="s">
        <v>37</v>
      </c>
      <c r="B228" s="7">
        <v>2.5</v>
      </c>
      <c r="C228" s="7">
        <v>2.4550000000000001</v>
      </c>
      <c r="D228" s="7">
        <v>2.4700000000000002</v>
      </c>
      <c r="E228" s="13">
        <f t="shared" si="6"/>
        <v>1388.14</v>
      </c>
      <c r="F228" s="13">
        <f t="shared" si="7"/>
        <v>1388.14</v>
      </c>
    </row>
    <row r="229" spans="1:6" x14ac:dyDescent="0.2">
      <c r="A229" s="9" t="s">
        <v>36</v>
      </c>
      <c r="B229" s="7">
        <v>2.5</v>
      </c>
      <c r="C229" s="7">
        <v>2.46</v>
      </c>
      <c r="D229" s="7">
        <v>2.48</v>
      </c>
      <c r="E229" s="13">
        <f t="shared" si="6"/>
        <v>1393.76</v>
      </c>
      <c r="F229" s="13">
        <f t="shared" si="7"/>
        <v>1393.76</v>
      </c>
    </row>
    <row r="230" spans="1:6" x14ac:dyDescent="0.2">
      <c r="A230" s="9" t="s">
        <v>35</v>
      </c>
      <c r="B230" s="7">
        <v>2.5299999999999998</v>
      </c>
      <c r="C230" s="7">
        <v>2.4900000000000002</v>
      </c>
      <c r="D230" s="7">
        <v>2.5</v>
      </c>
      <c r="E230" s="13">
        <f t="shared" si="6"/>
        <v>1405</v>
      </c>
      <c r="F230" s="13">
        <f t="shared" si="7"/>
        <v>1405</v>
      </c>
    </row>
    <row r="231" spans="1:6" x14ac:dyDescent="0.2">
      <c r="A231" s="9" t="s">
        <v>34</v>
      </c>
      <c r="B231" s="7">
        <v>2.54</v>
      </c>
      <c r="C231" s="7">
        <v>2.4500000000000002</v>
      </c>
      <c r="D231" s="7">
        <v>2.48</v>
      </c>
      <c r="E231" s="13">
        <f t="shared" si="6"/>
        <v>1393.76</v>
      </c>
      <c r="F231" s="13">
        <f t="shared" si="7"/>
        <v>1393.76</v>
      </c>
    </row>
    <row r="232" spans="1:6" x14ac:dyDescent="0.2">
      <c r="A232" s="9" t="s">
        <v>33</v>
      </c>
      <c r="B232" s="7">
        <v>2.4700000000000002</v>
      </c>
      <c r="C232" s="7">
        <v>2.41</v>
      </c>
      <c r="D232" s="7">
        <v>2.4300000000000002</v>
      </c>
      <c r="E232" s="13">
        <f t="shared" si="6"/>
        <v>1365.66</v>
      </c>
      <c r="F232" s="13">
        <f t="shared" si="7"/>
        <v>1365.66</v>
      </c>
    </row>
    <row r="233" spans="1:6" x14ac:dyDescent="0.2">
      <c r="A233" s="9" t="s">
        <v>32</v>
      </c>
      <c r="B233" s="7">
        <v>2.5550000000000002</v>
      </c>
      <c r="C233" s="7">
        <v>2.5099999999999998</v>
      </c>
      <c r="D233" s="7">
        <v>2.52</v>
      </c>
      <c r="E233" s="13">
        <f t="shared" si="6"/>
        <v>1416.24</v>
      </c>
      <c r="F233" s="13">
        <f t="shared" si="7"/>
        <v>1416.24</v>
      </c>
    </row>
    <row r="234" spans="1:6" x14ac:dyDescent="0.2">
      <c r="A234" s="9" t="s">
        <v>31</v>
      </c>
      <c r="B234" s="7">
        <v>2.58</v>
      </c>
      <c r="C234" s="7">
        <v>2.52</v>
      </c>
      <c r="D234" s="7">
        <v>2.52</v>
      </c>
      <c r="E234" s="13">
        <f t="shared" si="6"/>
        <v>1416.24</v>
      </c>
      <c r="F234" s="13">
        <f t="shared" si="7"/>
        <v>1416.24</v>
      </c>
    </row>
    <row r="235" spans="1:6" x14ac:dyDescent="0.2">
      <c r="A235" s="9" t="s">
        <v>30</v>
      </c>
      <c r="B235" s="7">
        <v>2.54</v>
      </c>
      <c r="C235" s="7">
        <v>2.48</v>
      </c>
      <c r="D235" s="7">
        <v>2.5299999999999998</v>
      </c>
      <c r="E235" s="13">
        <f t="shared" si="6"/>
        <v>1421.86</v>
      </c>
      <c r="F235" s="13">
        <f t="shared" si="7"/>
        <v>1421.86</v>
      </c>
    </row>
    <row r="236" spans="1:6" x14ac:dyDescent="0.2">
      <c r="A236" s="9" t="s">
        <v>29</v>
      </c>
      <c r="B236" s="7">
        <v>2.56</v>
      </c>
      <c r="C236" s="7">
        <v>2.4649999999999999</v>
      </c>
      <c r="D236" s="7">
        <v>2.4900000000000002</v>
      </c>
      <c r="E236" s="13">
        <f t="shared" si="6"/>
        <v>1399.38</v>
      </c>
      <c r="F236" s="13">
        <f t="shared" si="7"/>
        <v>1399.38</v>
      </c>
    </row>
    <row r="237" spans="1:6" x14ac:dyDescent="0.2">
      <c r="A237" s="9" t="s">
        <v>28</v>
      </c>
      <c r="B237" s="7">
        <v>2.5</v>
      </c>
      <c r="C237" s="7">
        <v>2.4300000000000002</v>
      </c>
      <c r="D237" s="7">
        <v>2.4300000000000002</v>
      </c>
      <c r="E237" s="13">
        <f t="shared" si="6"/>
        <v>1365.66</v>
      </c>
      <c r="F237" s="13">
        <f t="shared" si="7"/>
        <v>1365.66</v>
      </c>
    </row>
    <row r="238" spans="1:6" x14ac:dyDescent="0.2">
      <c r="A238" s="9" t="s">
        <v>27</v>
      </c>
      <c r="B238" s="7">
        <v>2.46</v>
      </c>
      <c r="C238" s="7">
        <v>2.4</v>
      </c>
      <c r="D238" s="7">
        <v>2.41</v>
      </c>
      <c r="E238" s="13">
        <f t="shared" si="6"/>
        <v>1354.42</v>
      </c>
      <c r="F238" s="13">
        <f t="shared" si="7"/>
        <v>1354.42</v>
      </c>
    </row>
    <row r="239" spans="1:6" x14ac:dyDescent="0.2">
      <c r="A239" s="9" t="s">
        <v>26</v>
      </c>
      <c r="B239" s="7">
        <v>2.63</v>
      </c>
      <c r="C239" s="7">
        <v>2.4500000000000002</v>
      </c>
      <c r="D239" s="7">
        <v>2.63</v>
      </c>
      <c r="E239" s="13">
        <f t="shared" si="6"/>
        <v>1478.06</v>
      </c>
      <c r="F239" s="13">
        <f t="shared" si="7"/>
        <v>1478.06</v>
      </c>
    </row>
    <row r="240" spans="1:6" x14ac:dyDescent="0.2">
      <c r="A240" s="9" t="s">
        <v>25</v>
      </c>
      <c r="B240" s="7">
        <v>2.68</v>
      </c>
      <c r="C240" s="7">
        <v>2.57</v>
      </c>
      <c r="D240" s="7">
        <v>2.62</v>
      </c>
      <c r="E240" s="13">
        <f t="shared" si="6"/>
        <v>1472.44</v>
      </c>
      <c r="F240" s="13">
        <f t="shared" si="7"/>
        <v>1472.44</v>
      </c>
    </row>
    <row r="241" spans="1:6" x14ac:dyDescent="0.2">
      <c r="A241" s="9" t="s">
        <v>24</v>
      </c>
      <c r="B241" s="7">
        <v>2.69</v>
      </c>
      <c r="C241" s="7">
        <v>2.59</v>
      </c>
      <c r="D241" s="7">
        <v>2.67</v>
      </c>
      <c r="E241" s="13">
        <f t="shared" si="6"/>
        <v>1500.54</v>
      </c>
      <c r="F241" s="13">
        <f t="shared" si="7"/>
        <v>1500.54</v>
      </c>
    </row>
    <row r="242" spans="1:6" x14ac:dyDescent="0.2">
      <c r="A242" s="9" t="s">
        <v>23</v>
      </c>
      <c r="B242" s="7">
        <v>2.8149999999999999</v>
      </c>
      <c r="C242" s="7">
        <v>2.7</v>
      </c>
      <c r="D242" s="7">
        <v>2.74</v>
      </c>
      <c r="E242" s="13">
        <f t="shared" si="6"/>
        <v>1539.88</v>
      </c>
      <c r="F242" s="13">
        <f t="shared" si="7"/>
        <v>1539.88</v>
      </c>
    </row>
    <row r="243" spans="1:6" x14ac:dyDescent="0.2">
      <c r="A243" s="9" t="s">
        <v>22</v>
      </c>
      <c r="B243" s="7">
        <v>2.8</v>
      </c>
      <c r="C243" s="7">
        <v>2.7349999999999999</v>
      </c>
      <c r="D243" s="7">
        <v>2.77</v>
      </c>
      <c r="E243" s="13">
        <f t="shared" si="6"/>
        <v>1556.74</v>
      </c>
      <c r="F243" s="13">
        <f t="shared" si="7"/>
        <v>1556.74</v>
      </c>
    </row>
    <row r="244" spans="1:6" x14ac:dyDescent="0.2">
      <c r="A244" s="9" t="s">
        <v>21</v>
      </c>
      <c r="B244" s="7">
        <v>2.85</v>
      </c>
      <c r="C244" s="7">
        <v>2.74</v>
      </c>
      <c r="D244" s="7">
        <v>2.74</v>
      </c>
      <c r="E244" s="13">
        <f t="shared" si="6"/>
        <v>1539.88</v>
      </c>
      <c r="F244" s="13">
        <f t="shared" si="7"/>
        <v>1539.88</v>
      </c>
    </row>
    <row r="245" spans="1:6" x14ac:dyDescent="0.2">
      <c r="A245" s="9" t="s">
        <v>20</v>
      </c>
      <c r="B245" s="7">
        <v>2.73</v>
      </c>
      <c r="C245" s="7">
        <v>2.66</v>
      </c>
      <c r="D245" s="7">
        <v>2.71</v>
      </c>
      <c r="E245" s="13">
        <f t="shared" si="6"/>
        <v>1523.02</v>
      </c>
      <c r="F245" s="13">
        <f t="shared" si="7"/>
        <v>1523.02</v>
      </c>
    </row>
    <row r="246" spans="1:6" x14ac:dyDescent="0.2">
      <c r="A246" s="9" t="s">
        <v>19</v>
      </c>
      <c r="B246" s="7">
        <v>2.67</v>
      </c>
      <c r="C246" s="7">
        <v>2.59</v>
      </c>
      <c r="D246" s="7">
        <v>2.61</v>
      </c>
      <c r="E246" s="13">
        <f t="shared" si="6"/>
        <v>1466.82</v>
      </c>
      <c r="F246" s="13">
        <f t="shared" si="7"/>
        <v>1466.82</v>
      </c>
    </row>
    <row r="247" spans="1:6" x14ac:dyDescent="0.2">
      <c r="A247" s="9" t="s">
        <v>18</v>
      </c>
      <c r="B247" s="7">
        <v>2.64</v>
      </c>
      <c r="C247" s="7">
        <v>2.57</v>
      </c>
      <c r="D247" s="7">
        <v>2.63</v>
      </c>
      <c r="E247" s="13">
        <f t="shared" si="6"/>
        <v>1478.06</v>
      </c>
      <c r="F247" s="13">
        <f t="shared" si="7"/>
        <v>1478.06</v>
      </c>
    </row>
    <row r="248" spans="1:6" x14ac:dyDescent="0.2">
      <c r="A248" s="9" t="s">
        <v>17</v>
      </c>
      <c r="B248" s="7">
        <v>2.66</v>
      </c>
      <c r="C248" s="7">
        <v>2.58</v>
      </c>
      <c r="D248" s="7">
        <v>2.59</v>
      </c>
      <c r="E248" s="13">
        <f t="shared" si="6"/>
        <v>1455.58</v>
      </c>
      <c r="F248" s="13">
        <f t="shared" si="7"/>
        <v>1455.58</v>
      </c>
    </row>
    <row r="249" spans="1:6" x14ac:dyDescent="0.2">
      <c r="A249" s="9" t="s">
        <v>16</v>
      </c>
      <c r="B249" s="7">
        <v>2.58</v>
      </c>
      <c r="C249" s="7">
        <v>2.48</v>
      </c>
      <c r="D249" s="7">
        <v>2.54</v>
      </c>
      <c r="E249" s="13">
        <f t="shared" si="6"/>
        <v>1427.48</v>
      </c>
      <c r="F249" s="13">
        <f t="shared" si="7"/>
        <v>1427.48</v>
      </c>
    </row>
    <row r="250" spans="1:6" x14ac:dyDescent="0.2">
      <c r="A250" s="9" t="s">
        <v>15</v>
      </c>
      <c r="B250" s="7">
        <v>2.52</v>
      </c>
      <c r="C250" s="7">
        <v>2.4550000000000001</v>
      </c>
      <c r="D250" s="7">
        <v>2.5</v>
      </c>
      <c r="E250" s="13">
        <f t="shared" si="6"/>
        <v>1405</v>
      </c>
      <c r="F250" s="13">
        <f t="shared" si="7"/>
        <v>1405</v>
      </c>
    </row>
    <row r="251" spans="1:6" x14ac:dyDescent="0.2">
      <c r="A251" s="9" t="s">
        <v>14</v>
      </c>
      <c r="B251" s="7">
        <v>2.5649999999999999</v>
      </c>
      <c r="C251" s="7">
        <v>2.5</v>
      </c>
      <c r="D251" s="7">
        <v>2.54</v>
      </c>
      <c r="E251" s="13">
        <f t="shared" si="6"/>
        <v>1427.48</v>
      </c>
      <c r="F251" s="13">
        <f t="shared" si="7"/>
        <v>1427.48</v>
      </c>
    </row>
    <row r="252" spans="1:6" x14ac:dyDescent="0.2">
      <c r="A252" s="9" t="s">
        <v>13</v>
      </c>
      <c r="B252" s="7">
        <v>2.57</v>
      </c>
      <c r="C252" s="7">
        <v>2.5</v>
      </c>
      <c r="D252" s="7">
        <v>2.5299999999999998</v>
      </c>
      <c r="E252" s="13">
        <f t="shared" si="6"/>
        <v>1421.86</v>
      </c>
      <c r="F252" s="13">
        <f t="shared" si="7"/>
        <v>1421.86</v>
      </c>
    </row>
    <row r="253" spans="1:6" x14ac:dyDescent="0.2">
      <c r="A253" s="9" t="s">
        <v>12</v>
      </c>
      <c r="B253" s="7">
        <v>2.56</v>
      </c>
      <c r="C253" s="7">
        <v>2.5049999999999999</v>
      </c>
      <c r="D253" s="7">
        <v>2.5499999999999998</v>
      </c>
      <c r="E253" s="13">
        <f t="shared" si="6"/>
        <v>1433.1</v>
      </c>
      <c r="F253" s="13">
        <f t="shared" si="7"/>
        <v>1433.1</v>
      </c>
    </row>
    <row r="254" spans="1:6" x14ac:dyDescent="0.2">
      <c r="A254" s="9" t="s">
        <v>11</v>
      </c>
      <c r="B254" s="7">
        <v>2.5499999999999998</v>
      </c>
      <c r="C254" s="7">
        <v>2.4900000000000002</v>
      </c>
      <c r="D254" s="7">
        <v>2.52</v>
      </c>
      <c r="E254" s="13">
        <f t="shared" si="6"/>
        <v>1416.24</v>
      </c>
      <c r="F254" s="13">
        <f t="shared" si="7"/>
        <v>1416.24</v>
      </c>
    </row>
    <row r="255" spans="1:6" x14ac:dyDescent="0.2">
      <c r="A255" s="9" t="s">
        <v>10</v>
      </c>
      <c r="B255" s="7">
        <v>2.48</v>
      </c>
      <c r="C255" s="7">
        <v>2.4350000000000001</v>
      </c>
      <c r="D255" s="7">
        <v>2.4700000000000002</v>
      </c>
      <c r="E255" s="13">
        <f t="shared" si="6"/>
        <v>1388.14</v>
      </c>
      <c r="F255" s="13">
        <f t="shared" si="7"/>
        <v>1388.14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C0CA-6631-EF47-A7AE-09938E35CEE2}">
  <dimension ref="A1:R255"/>
  <sheetViews>
    <sheetView topLeftCell="J5" zoomScale="142" workbookViewId="0">
      <selection activeCell="R15" sqref="R15"/>
    </sheetView>
  </sheetViews>
  <sheetFormatPr baseColWidth="10" defaultRowHeight="16" x14ac:dyDescent="0.2"/>
  <cols>
    <col min="9" max="9" width="34.1640625" bestFit="1" customWidth="1"/>
    <col min="10" max="10" width="18.6640625" bestFit="1" customWidth="1"/>
    <col min="13" max="13" width="11" bestFit="1" customWidth="1"/>
    <col min="14" max="14" width="13.6640625" bestFit="1" customWidth="1"/>
    <col min="18" max="18" width="14.5" bestFit="1" customWidth="1"/>
  </cols>
  <sheetData>
    <row r="1" spans="1:18" x14ac:dyDescent="0.2">
      <c r="A1" s="8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271</v>
      </c>
      <c r="G1" s="6" t="s">
        <v>272</v>
      </c>
    </row>
    <row r="2" spans="1:18" s="45" customFormat="1" x14ac:dyDescent="0.2">
      <c r="A2" s="42" t="s">
        <v>263</v>
      </c>
      <c r="B2" s="43">
        <v>1.7749999999999999</v>
      </c>
      <c r="C2" s="43">
        <v>1.778</v>
      </c>
      <c r="D2" s="43">
        <v>1.7350000000000001</v>
      </c>
      <c r="E2" s="43">
        <v>1.74</v>
      </c>
      <c r="F2" s="44">
        <v>999.23599999999999</v>
      </c>
      <c r="G2" s="44">
        <v>1000</v>
      </c>
    </row>
    <row r="3" spans="1:18" x14ac:dyDescent="0.2">
      <c r="A3" s="9" t="s">
        <v>262</v>
      </c>
      <c r="B3" s="7">
        <v>1.7050000000000001</v>
      </c>
      <c r="C3" s="7">
        <v>1.72</v>
      </c>
      <c r="D3" s="7">
        <v>1.6850000000000001</v>
      </c>
      <c r="E3" s="7">
        <v>1.69</v>
      </c>
      <c r="F3" s="13">
        <v>949.78</v>
      </c>
      <c r="G3" s="13">
        <v>950.54399999999998</v>
      </c>
    </row>
    <row r="4" spans="1:18" x14ac:dyDescent="0.2">
      <c r="A4" s="9" t="s">
        <v>261</v>
      </c>
      <c r="B4" s="7">
        <v>1.66</v>
      </c>
      <c r="C4" s="7">
        <v>1.677</v>
      </c>
      <c r="D4" s="7">
        <v>1.615</v>
      </c>
      <c r="E4" s="7">
        <v>1.625</v>
      </c>
      <c r="F4" s="13">
        <v>913.25</v>
      </c>
      <c r="G4" s="13">
        <v>913.25</v>
      </c>
    </row>
    <row r="5" spans="1:18" x14ac:dyDescent="0.2">
      <c r="A5" s="9" t="s">
        <v>260</v>
      </c>
      <c r="B5" s="7">
        <v>1.645</v>
      </c>
      <c r="C5" s="7">
        <v>1.655</v>
      </c>
      <c r="D5" s="7">
        <v>1.62</v>
      </c>
      <c r="E5" s="7">
        <v>1.625</v>
      </c>
      <c r="F5" s="13">
        <v>913.25</v>
      </c>
      <c r="G5" s="13">
        <v>913.25</v>
      </c>
    </row>
    <row r="6" spans="1:18" x14ac:dyDescent="0.2">
      <c r="A6" s="9" t="s">
        <v>259</v>
      </c>
      <c r="B6" s="7">
        <v>1.615</v>
      </c>
      <c r="C6" s="7">
        <v>1.63</v>
      </c>
      <c r="D6" s="7">
        <v>1.6</v>
      </c>
      <c r="E6" s="7">
        <v>1.63</v>
      </c>
      <c r="F6" s="13">
        <v>916.06</v>
      </c>
      <c r="G6" s="13">
        <v>916.06</v>
      </c>
      <c r="I6" s="6" t="s">
        <v>279</v>
      </c>
      <c r="J6" s="12">
        <v>1000</v>
      </c>
      <c r="K6" s="12"/>
      <c r="L6" s="6" t="s">
        <v>266</v>
      </c>
      <c r="M6" s="6" t="s">
        <v>284</v>
      </c>
      <c r="N6" s="6" t="s">
        <v>285</v>
      </c>
      <c r="O6" s="6" t="s">
        <v>273</v>
      </c>
      <c r="P6" s="6" t="s">
        <v>281</v>
      </c>
      <c r="Q6" s="6" t="s">
        <v>274</v>
      </c>
      <c r="R6" s="6" t="s">
        <v>286</v>
      </c>
    </row>
    <row r="7" spans="1:18" x14ac:dyDescent="0.2">
      <c r="A7" s="9" t="s">
        <v>258</v>
      </c>
      <c r="B7" s="7">
        <v>1.64</v>
      </c>
      <c r="C7" s="7">
        <v>1.655</v>
      </c>
      <c r="D7" s="7">
        <v>1.6</v>
      </c>
      <c r="E7" s="7">
        <v>1.605</v>
      </c>
      <c r="F7" s="13">
        <v>902.01</v>
      </c>
      <c r="G7" s="13">
        <v>902.01</v>
      </c>
      <c r="I7" t="s">
        <v>280</v>
      </c>
      <c r="J7" t="s">
        <v>282</v>
      </c>
      <c r="L7" s="15">
        <v>45337</v>
      </c>
      <c r="M7">
        <v>1.51</v>
      </c>
      <c r="N7" s="16">
        <v>845.81</v>
      </c>
      <c r="O7" s="17">
        <v>1</v>
      </c>
      <c r="P7">
        <f>562</f>
        <v>562</v>
      </c>
      <c r="Q7" t="s">
        <v>275</v>
      </c>
      <c r="R7">
        <v>1.24</v>
      </c>
    </row>
    <row r="8" spans="1:18" x14ac:dyDescent="0.2">
      <c r="A8" s="9" t="s">
        <v>257</v>
      </c>
      <c r="B8" s="7">
        <v>1.6</v>
      </c>
      <c r="C8" s="7">
        <v>1.61</v>
      </c>
      <c r="D8" s="7">
        <v>1.575</v>
      </c>
      <c r="E8" s="7">
        <v>1.59</v>
      </c>
      <c r="F8" s="13">
        <v>893.58</v>
      </c>
      <c r="G8" s="13">
        <v>893.58</v>
      </c>
      <c r="L8" s="15">
        <v>45637</v>
      </c>
      <c r="M8">
        <v>2.77</v>
      </c>
      <c r="N8">
        <v>1556.74</v>
      </c>
      <c r="O8" s="17">
        <v>1.84</v>
      </c>
      <c r="P8">
        <v>562</v>
      </c>
      <c r="Q8" t="s">
        <v>276</v>
      </c>
      <c r="R8">
        <f>R7+N8</f>
        <v>1557.98</v>
      </c>
    </row>
    <row r="9" spans="1:18" x14ac:dyDescent="0.2">
      <c r="A9" s="9" t="s">
        <v>256</v>
      </c>
      <c r="B9" s="7">
        <v>1.585</v>
      </c>
      <c r="C9" s="7">
        <v>1.625</v>
      </c>
      <c r="D9" s="7">
        <v>1.56</v>
      </c>
      <c r="E9" s="7">
        <v>1.615</v>
      </c>
      <c r="F9" s="13">
        <v>907.63</v>
      </c>
      <c r="G9" s="13">
        <v>907.63</v>
      </c>
      <c r="I9" t="s">
        <v>283</v>
      </c>
    </row>
    <row r="10" spans="1:18" x14ac:dyDescent="0.2">
      <c r="A10" s="9" t="s">
        <v>255</v>
      </c>
      <c r="B10" s="7">
        <v>1.6</v>
      </c>
      <c r="C10" s="7">
        <v>1.625</v>
      </c>
      <c r="D10" s="7">
        <v>1.58</v>
      </c>
      <c r="E10" s="7">
        <v>1.62</v>
      </c>
      <c r="F10" s="13">
        <v>910.44</v>
      </c>
      <c r="G10" s="13">
        <v>910.44</v>
      </c>
    </row>
    <row r="11" spans="1:18" x14ac:dyDescent="0.2">
      <c r="A11" s="9" t="s">
        <v>254</v>
      </c>
      <c r="B11" s="7">
        <v>1.635</v>
      </c>
      <c r="C11" s="7">
        <v>1.655</v>
      </c>
      <c r="D11" s="7">
        <v>1.617</v>
      </c>
      <c r="E11" s="7">
        <v>1.64</v>
      </c>
      <c r="F11" s="13">
        <v>921.68</v>
      </c>
      <c r="G11" s="13">
        <v>921.68</v>
      </c>
    </row>
    <row r="12" spans="1:18" x14ac:dyDescent="0.2">
      <c r="A12" s="9" t="s">
        <v>253</v>
      </c>
      <c r="B12" s="7">
        <v>1.63</v>
      </c>
      <c r="C12" s="7">
        <v>1.665</v>
      </c>
      <c r="D12" s="7">
        <v>1.615</v>
      </c>
      <c r="E12" s="7">
        <v>1.65</v>
      </c>
      <c r="F12" s="13">
        <v>927.3</v>
      </c>
      <c r="G12" s="13">
        <v>927.3</v>
      </c>
    </row>
    <row r="13" spans="1:18" x14ac:dyDescent="0.2">
      <c r="A13" s="9" t="s">
        <v>252</v>
      </c>
      <c r="B13" s="7">
        <v>1.6</v>
      </c>
      <c r="C13" s="7">
        <v>1.623</v>
      </c>
      <c r="D13" s="7">
        <v>1.575</v>
      </c>
      <c r="E13" s="7">
        <v>1.62</v>
      </c>
      <c r="F13" s="13">
        <v>910.44</v>
      </c>
      <c r="G13" s="13">
        <v>910.44</v>
      </c>
    </row>
    <row r="14" spans="1:18" x14ac:dyDescent="0.2">
      <c r="A14" s="9" t="s">
        <v>251</v>
      </c>
      <c r="B14" s="7">
        <v>1.58</v>
      </c>
      <c r="C14" s="7">
        <v>1.617</v>
      </c>
      <c r="D14" s="7">
        <v>1.575</v>
      </c>
      <c r="E14" s="7">
        <v>1.59</v>
      </c>
      <c r="F14" s="13">
        <v>893.58</v>
      </c>
      <c r="G14" s="13">
        <v>893.58</v>
      </c>
    </row>
    <row r="15" spans="1:18" x14ac:dyDescent="0.2">
      <c r="A15" s="9" t="s">
        <v>250</v>
      </c>
      <c r="B15" s="7">
        <v>1.62</v>
      </c>
      <c r="C15" s="7">
        <v>1.633</v>
      </c>
      <c r="D15" s="7">
        <v>1.59</v>
      </c>
      <c r="E15" s="7">
        <v>1.605</v>
      </c>
      <c r="F15" s="13">
        <v>902.01</v>
      </c>
      <c r="G15" s="13">
        <v>902.01</v>
      </c>
    </row>
    <row r="16" spans="1:18" x14ac:dyDescent="0.2">
      <c r="A16" s="9" t="s">
        <v>249</v>
      </c>
      <c r="B16" s="7">
        <v>1.61</v>
      </c>
      <c r="C16" s="7">
        <v>1.625</v>
      </c>
      <c r="D16" s="7">
        <v>1.587</v>
      </c>
      <c r="E16" s="7">
        <v>1.605</v>
      </c>
      <c r="F16" s="13">
        <v>902.01</v>
      </c>
      <c r="G16" s="13">
        <v>902.01</v>
      </c>
    </row>
    <row r="17" spans="1:7" x14ac:dyDescent="0.2">
      <c r="A17" s="9" t="s">
        <v>248</v>
      </c>
      <c r="B17" s="7">
        <v>1.61</v>
      </c>
      <c r="C17" s="7">
        <v>1.61</v>
      </c>
      <c r="D17" s="7">
        <v>1.52</v>
      </c>
      <c r="E17" s="7">
        <v>1.53</v>
      </c>
      <c r="F17" s="13">
        <v>859.86</v>
      </c>
      <c r="G17" s="13">
        <v>859.86</v>
      </c>
    </row>
    <row r="18" spans="1:7" x14ac:dyDescent="0.2">
      <c r="A18" s="9" t="s">
        <v>247</v>
      </c>
      <c r="B18" s="7">
        <v>1.54</v>
      </c>
      <c r="C18" s="7">
        <v>1.62</v>
      </c>
      <c r="D18" s="7">
        <v>1.5149999999999999</v>
      </c>
      <c r="E18" s="7">
        <v>1.585</v>
      </c>
      <c r="F18" s="13">
        <v>890.77</v>
      </c>
      <c r="G18" s="13">
        <v>890.77</v>
      </c>
    </row>
    <row r="19" spans="1:7" x14ac:dyDescent="0.2">
      <c r="A19" s="9" t="s">
        <v>246</v>
      </c>
      <c r="B19" s="7">
        <v>1.585</v>
      </c>
      <c r="C19" s="7">
        <v>1.593</v>
      </c>
      <c r="D19" s="7">
        <v>1.5449999999999999</v>
      </c>
      <c r="E19" s="7">
        <v>1.5649999999999999</v>
      </c>
      <c r="F19" s="13">
        <v>879.53</v>
      </c>
      <c r="G19" s="13">
        <v>879.53</v>
      </c>
    </row>
    <row r="20" spans="1:7" x14ac:dyDescent="0.2">
      <c r="A20" s="9" t="s">
        <v>245</v>
      </c>
      <c r="B20" s="7">
        <v>1.5449999999999999</v>
      </c>
      <c r="C20" s="7">
        <v>1.5649999999999999</v>
      </c>
      <c r="D20" s="7">
        <v>1.4850000000000001</v>
      </c>
      <c r="E20" s="7">
        <v>1.5549999999999999</v>
      </c>
      <c r="F20" s="13">
        <v>873.91</v>
      </c>
      <c r="G20" s="13">
        <v>873.91</v>
      </c>
    </row>
    <row r="21" spans="1:7" x14ac:dyDescent="0.2">
      <c r="A21" s="9" t="s">
        <v>244</v>
      </c>
      <c r="B21" s="7">
        <v>1.5649999999999999</v>
      </c>
      <c r="C21" s="7">
        <v>1.613</v>
      </c>
      <c r="D21" s="7">
        <v>1.5449999999999999</v>
      </c>
      <c r="E21" s="7">
        <v>1.6</v>
      </c>
      <c r="F21" s="13">
        <v>899.2</v>
      </c>
      <c r="G21" s="13">
        <v>899.2</v>
      </c>
    </row>
    <row r="22" spans="1:7" x14ac:dyDescent="0.2">
      <c r="A22" s="9" t="s">
        <v>243</v>
      </c>
      <c r="B22" s="7">
        <v>1.59</v>
      </c>
      <c r="C22" s="7">
        <v>1.635</v>
      </c>
      <c r="D22" s="7">
        <v>1.5649999999999999</v>
      </c>
      <c r="E22" s="7">
        <v>1.625</v>
      </c>
      <c r="F22" s="13">
        <v>913.25</v>
      </c>
      <c r="G22" s="13">
        <v>913.25</v>
      </c>
    </row>
    <row r="23" spans="1:7" x14ac:dyDescent="0.2">
      <c r="A23" s="9" t="s">
        <v>242</v>
      </c>
      <c r="B23" s="7">
        <v>1.6</v>
      </c>
      <c r="C23" s="7">
        <v>1.61</v>
      </c>
      <c r="D23" s="7">
        <v>1.5349999999999999</v>
      </c>
      <c r="E23" s="7">
        <v>1.605</v>
      </c>
      <c r="F23" s="13">
        <v>902.01</v>
      </c>
      <c r="G23" s="13">
        <v>902.01</v>
      </c>
    </row>
    <row r="24" spans="1:7" x14ac:dyDescent="0.2">
      <c r="A24" s="9" t="s">
        <v>241</v>
      </c>
      <c r="B24" s="7">
        <v>1.66</v>
      </c>
      <c r="C24" s="7">
        <v>1.74</v>
      </c>
      <c r="D24" s="7">
        <v>1.66</v>
      </c>
      <c r="E24" s="7">
        <v>1.6950000000000001</v>
      </c>
      <c r="F24" s="13">
        <v>952.59</v>
      </c>
      <c r="G24" s="13">
        <v>952.59</v>
      </c>
    </row>
    <row r="25" spans="1:7" x14ac:dyDescent="0.2">
      <c r="A25" s="9" t="s">
        <v>240</v>
      </c>
      <c r="B25" s="7">
        <v>1.645</v>
      </c>
      <c r="C25" s="7">
        <v>1.65</v>
      </c>
      <c r="D25" s="7">
        <v>1.585</v>
      </c>
      <c r="E25" s="7">
        <v>1.605</v>
      </c>
      <c r="F25" s="13">
        <v>902.01</v>
      </c>
      <c r="G25" s="13">
        <v>902.01</v>
      </c>
    </row>
    <row r="26" spans="1:7" x14ac:dyDescent="0.2">
      <c r="A26" s="9" t="s">
        <v>239</v>
      </c>
      <c r="B26" s="7">
        <v>1.6</v>
      </c>
      <c r="C26" s="7">
        <v>1.62</v>
      </c>
      <c r="D26" s="7">
        <v>1.5649999999999999</v>
      </c>
      <c r="E26" s="7">
        <v>1.585</v>
      </c>
      <c r="F26" s="13">
        <v>890.77</v>
      </c>
      <c r="G26" s="13">
        <v>890.77</v>
      </c>
    </row>
    <row r="27" spans="1:7" x14ac:dyDescent="0.2">
      <c r="A27" s="9" t="s">
        <v>238</v>
      </c>
      <c r="B27" s="7">
        <v>1.6</v>
      </c>
      <c r="C27" s="7">
        <v>1.607</v>
      </c>
      <c r="D27" s="7">
        <v>1.57</v>
      </c>
      <c r="E27" s="7">
        <v>1.605</v>
      </c>
      <c r="F27" s="13">
        <v>902.01</v>
      </c>
      <c r="G27" s="13">
        <v>902.01</v>
      </c>
    </row>
    <row r="28" spans="1:7" x14ac:dyDescent="0.2">
      <c r="A28" s="9" t="s">
        <v>237</v>
      </c>
      <c r="B28" s="7">
        <v>1.605</v>
      </c>
      <c r="C28" s="7">
        <v>1.65</v>
      </c>
      <c r="D28" s="7">
        <v>1.587</v>
      </c>
      <c r="E28" s="7">
        <v>1.61</v>
      </c>
      <c r="F28" s="13">
        <v>904.82</v>
      </c>
      <c r="G28" s="13">
        <v>904.82</v>
      </c>
    </row>
    <row r="29" spans="1:7" x14ac:dyDescent="0.2">
      <c r="A29" s="9" t="s">
        <v>236</v>
      </c>
      <c r="B29" s="7">
        <v>1.6</v>
      </c>
      <c r="C29" s="7">
        <v>1.605</v>
      </c>
      <c r="D29" s="7">
        <v>1.55</v>
      </c>
      <c r="E29" s="7">
        <v>1.56</v>
      </c>
      <c r="F29" s="13">
        <v>876.72</v>
      </c>
      <c r="G29" s="13">
        <v>876.72</v>
      </c>
    </row>
    <row r="30" spans="1:7" x14ac:dyDescent="0.2">
      <c r="A30" s="9" t="s">
        <v>235</v>
      </c>
      <c r="B30" s="7">
        <v>1.585</v>
      </c>
      <c r="C30" s="7">
        <v>1.585</v>
      </c>
      <c r="D30" s="7">
        <v>1.54</v>
      </c>
      <c r="E30" s="7">
        <v>1.54</v>
      </c>
      <c r="F30" s="13">
        <v>865.48</v>
      </c>
      <c r="G30" s="13">
        <v>865.48</v>
      </c>
    </row>
    <row r="31" spans="1:7" x14ac:dyDescent="0.2">
      <c r="A31" s="9" t="s">
        <v>234</v>
      </c>
      <c r="B31" s="7">
        <v>1.5649999999999999</v>
      </c>
      <c r="C31" s="7">
        <v>1.605</v>
      </c>
      <c r="D31" s="7">
        <v>1.55</v>
      </c>
      <c r="E31" s="7">
        <v>1.57</v>
      </c>
      <c r="F31" s="13">
        <v>882.34</v>
      </c>
      <c r="G31" s="13">
        <v>882.34</v>
      </c>
    </row>
    <row r="32" spans="1:7" x14ac:dyDescent="0.2">
      <c r="A32" s="9" t="s">
        <v>233</v>
      </c>
      <c r="B32" s="7">
        <v>1.51</v>
      </c>
      <c r="C32" s="7">
        <v>1.532</v>
      </c>
      <c r="D32" s="7">
        <v>1.4650000000000001</v>
      </c>
      <c r="E32" s="7">
        <v>1.52</v>
      </c>
      <c r="F32" s="13">
        <v>854.24</v>
      </c>
      <c r="G32" s="13">
        <v>854.24</v>
      </c>
    </row>
    <row r="33" spans="1:7" x14ac:dyDescent="0.2">
      <c r="A33" s="9" t="s">
        <v>232</v>
      </c>
      <c r="B33" s="7">
        <v>1.5149999999999999</v>
      </c>
      <c r="C33" s="7">
        <v>1.54</v>
      </c>
      <c r="D33" s="7">
        <v>1.5</v>
      </c>
      <c r="E33" s="7">
        <v>1.5049999999999999</v>
      </c>
      <c r="F33" s="13">
        <v>845.81</v>
      </c>
      <c r="G33" s="13">
        <v>845.81</v>
      </c>
    </row>
    <row r="34" spans="1:7" x14ac:dyDescent="0.2">
      <c r="A34" s="9" t="s">
        <v>231</v>
      </c>
      <c r="B34" s="7">
        <v>1.55</v>
      </c>
      <c r="C34" s="7">
        <v>1.57</v>
      </c>
      <c r="D34" s="7">
        <v>1.5149999999999999</v>
      </c>
      <c r="E34" s="7">
        <v>1.5249999999999999</v>
      </c>
      <c r="F34" s="13">
        <v>857.05</v>
      </c>
      <c r="G34" s="13">
        <v>857.05</v>
      </c>
    </row>
    <row r="35" spans="1:7" x14ac:dyDescent="0.2">
      <c r="A35" s="9" t="s">
        <v>230</v>
      </c>
      <c r="B35" s="7">
        <v>1.5249999999999999</v>
      </c>
      <c r="C35" s="7">
        <v>1.53</v>
      </c>
      <c r="D35" s="7">
        <v>1.5049999999999999</v>
      </c>
      <c r="E35" s="7">
        <v>1.5249999999999999</v>
      </c>
      <c r="F35" s="13">
        <v>857.05</v>
      </c>
      <c r="G35" s="13">
        <v>857.05</v>
      </c>
    </row>
    <row r="36" spans="1:7" x14ac:dyDescent="0.2">
      <c r="A36" s="9" t="s">
        <v>229</v>
      </c>
      <c r="B36" s="7">
        <v>1.53</v>
      </c>
      <c r="C36" s="7">
        <v>1.542</v>
      </c>
      <c r="D36" s="7">
        <v>1.51</v>
      </c>
      <c r="E36" s="7">
        <v>1.54</v>
      </c>
      <c r="F36" s="13">
        <v>865.48</v>
      </c>
      <c r="G36" s="13">
        <v>865.48</v>
      </c>
    </row>
    <row r="37" spans="1:7" x14ac:dyDescent="0.2">
      <c r="A37" s="9" t="s">
        <v>228</v>
      </c>
      <c r="B37" s="7">
        <v>1.5549999999999999</v>
      </c>
      <c r="C37" s="7">
        <v>1.595</v>
      </c>
      <c r="D37" s="7">
        <v>1.55</v>
      </c>
      <c r="E37" s="7">
        <v>1.5649999999999999</v>
      </c>
      <c r="F37" s="13">
        <v>879.53</v>
      </c>
      <c r="G37" s="13">
        <v>879.53</v>
      </c>
    </row>
    <row r="38" spans="1:7" x14ac:dyDescent="0.2">
      <c r="A38" s="9" t="s">
        <v>227</v>
      </c>
      <c r="B38" s="7">
        <v>1.55</v>
      </c>
      <c r="C38" s="7">
        <v>1.57</v>
      </c>
      <c r="D38" s="7">
        <v>1.52</v>
      </c>
      <c r="E38" s="7">
        <v>1.5549999999999999</v>
      </c>
      <c r="F38" s="13">
        <v>873.91</v>
      </c>
      <c r="G38" s="13">
        <v>873.91</v>
      </c>
    </row>
    <row r="39" spans="1:7" x14ac:dyDescent="0.2">
      <c r="A39" s="9" t="s">
        <v>226</v>
      </c>
      <c r="B39" s="7">
        <v>1.54</v>
      </c>
      <c r="C39" s="7">
        <v>1.5649999999999999</v>
      </c>
      <c r="D39" s="7">
        <v>1.54</v>
      </c>
      <c r="E39" s="7">
        <v>1.56</v>
      </c>
      <c r="F39" s="13">
        <v>876.72</v>
      </c>
      <c r="G39" s="13">
        <v>876.72</v>
      </c>
    </row>
    <row r="40" spans="1:7" x14ac:dyDescent="0.2">
      <c r="A40" s="9" t="s">
        <v>225</v>
      </c>
      <c r="B40" s="7">
        <v>1.59</v>
      </c>
      <c r="C40" s="7">
        <v>1.625</v>
      </c>
      <c r="D40" s="7">
        <v>1.585</v>
      </c>
      <c r="E40" s="7">
        <v>1.61</v>
      </c>
      <c r="F40" s="13">
        <v>904.82</v>
      </c>
      <c r="G40" s="13">
        <v>904.82</v>
      </c>
    </row>
    <row r="41" spans="1:7" x14ac:dyDescent="0.2">
      <c r="A41" s="9" t="s">
        <v>224</v>
      </c>
      <c r="B41" s="7">
        <v>1.59</v>
      </c>
      <c r="C41" s="7">
        <v>1.6</v>
      </c>
      <c r="D41" s="7">
        <v>1.52</v>
      </c>
      <c r="E41" s="7">
        <v>1.57</v>
      </c>
      <c r="F41" s="13">
        <v>882.34</v>
      </c>
      <c r="G41" s="13">
        <v>882.34</v>
      </c>
    </row>
    <row r="42" spans="1:7" x14ac:dyDescent="0.2">
      <c r="A42" s="9" t="s">
        <v>223</v>
      </c>
      <c r="B42" s="7">
        <v>1.59</v>
      </c>
      <c r="C42" s="7">
        <v>1.615</v>
      </c>
      <c r="D42" s="7">
        <v>1.57</v>
      </c>
      <c r="E42" s="7">
        <v>1.575</v>
      </c>
      <c r="F42" s="13">
        <v>885.15</v>
      </c>
      <c r="G42" s="13">
        <v>885.15</v>
      </c>
    </row>
    <row r="43" spans="1:7" x14ac:dyDescent="0.2">
      <c r="A43" s="9" t="s">
        <v>222</v>
      </c>
      <c r="B43" s="7">
        <v>1.57</v>
      </c>
      <c r="C43" s="7">
        <v>1.57</v>
      </c>
      <c r="D43" s="7">
        <v>1.48</v>
      </c>
      <c r="E43" s="7">
        <v>1.53</v>
      </c>
      <c r="F43" s="13">
        <v>859.86</v>
      </c>
      <c r="G43" s="13">
        <v>859.86</v>
      </c>
    </row>
    <row r="44" spans="1:7" x14ac:dyDescent="0.2">
      <c r="A44" s="9" t="s">
        <v>221</v>
      </c>
      <c r="B44" s="7">
        <v>1.5449999999999999</v>
      </c>
      <c r="C44" s="7">
        <v>1.58</v>
      </c>
      <c r="D44" s="7">
        <v>1.5449999999999999</v>
      </c>
      <c r="E44" s="7">
        <v>1.58</v>
      </c>
      <c r="F44" s="13">
        <v>887.96</v>
      </c>
      <c r="G44" s="13">
        <v>887.96</v>
      </c>
    </row>
    <row r="45" spans="1:7" x14ac:dyDescent="0.2">
      <c r="A45" s="9" t="s">
        <v>220</v>
      </c>
      <c r="B45" s="7">
        <v>1.625</v>
      </c>
      <c r="C45" s="7">
        <v>1.72</v>
      </c>
      <c r="D45" s="7">
        <v>1.625</v>
      </c>
      <c r="E45" s="7">
        <v>1.7</v>
      </c>
      <c r="F45" s="13">
        <v>955.4</v>
      </c>
      <c r="G45" s="13">
        <v>955.4</v>
      </c>
    </row>
    <row r="46" spans="1:7" x14ac:dyDescent="0.2">
      <c r="A46" s="9" t="s">
        <v>219</v>
      </c>
      <c r="B46" s="7">
        <v>1.7450000000000001</v>
      </c>
      <c r="C46" s="7">
        <v>1.84</v>
      </c>
      <c r="D46" s="7">
        <v>1.7250000000000001</v>
      </c>
      <c r="E46" s="7">
        <v>1.825</v>
      </c>
      <c r="F46" s="13">
        <v>1025.6499999999999</v>
      </c>
      <c r="G46" s="13">
        <v>1025.6499999999999</v>
      </c>
    </row>
    <row r="47" spans="1:7" x14ac:dyDescent="0.2">
      <c r="A47" s="9" t="s">
        <v>218</v>
      </c>
      <c r="B47" s="7">
        <v>1.82</v>
      </c>
      <c r="C47" s="7">
        <v>1.865</v>
      </c>
      <c r="D47" s="7">
        <v>1.82</v>
      </c>
      <c r="E47" s="7">
        <v>1.855</v>
      </c>
      <c r="F47" s="13">
        <v>1042.51</v>
      </c>
      <c r="G47" s="13">
        <v>1042.51</v>
      </c>
    </row>
    <row r="48" spans="1:7" x14ac:dyDescent="0.2">
      <c r="A48" s="9" t="s">
        <v>217</v>
      </c>
      <c r="B48" s="7">
        <v>1.875</v>
      </c>
      <c r="C48" s="7">
        <v>1.9850000000000001</v>
      </c>
      <c r="D48" s="7">
        <v>1.875</v>
      </c>
      <c r="E48" s="7">
        <v>1.917</v>
      </c>
      <c r="F48" s="13">
        <v>1077.354</v>
      </c>
      <c r="G48" s="13">
        <v>1077.354</v>
      </c>
    </row>
    <row r="49" spans="1:7" x14ac:dyDescent="0.2">
      <c r="A49" s="9" t="s">
        <v>216</v>
      </c>
      <c r="B49" s="7">
        <v>1.915</v>
      </c>
      <c r="C49" s="7">
        <v>1.92</v>
      </c>
      <c r="D49" s="7">
        <v>1.837</v>
      </c>
      <c r="E49" s="7">
        <v>1.86</v>
      </c>
      <c r="F49" s="13">
        <v>1045.3200000000002</v>
      </c>
      <c r="G49" s="13">
        <v>1045.3200000000002</v>
      </c>
    </row>
    <row r="50" spans="1:7" x14ac:dyDescent="0.2">
      <c r="A50" s="9" t="s">
        <v>215</v>
      </c>
      <c r="B50" s="7">
        <v>1.88</v>
      </c>
      <c r="C50" s="7">
        <v>1.905</v>
      </c>
      <c r="D50" s="7">
        <v>1.84</v>
      </c>
      <c r="E50" s="7">
        <v>1.87</v>
      </c>
      <c r="F50" s="13">
        <v>1050.94</v>
      </c>
      <c r="G50" s="13">
        <v>1050.94</v>
      </c>
    </row>
    <row r="51" spans="1:7" x14ac:dyDescent="0.2">
      <c r="A51" s="9" t="s">
        <v>214</v>
      </c>
      <c r="B51" s="7">
        <v>1.885</v>
      </c>
      <c r="C51" s="7">
        <v>1.915</v>
      </c>
      <c r="D51" s="7">
        <v>1.87</v>
      </c>
      <c r="E51" s="7">
        <v>1.895</v>
      </c>
      <c r="F51" s="13">
        <v>1064.99</v>
      </c>
      <c r="G51" s="13">
        <v>1064.99</v>
      </c>
    </row>
    <row r="52" spans="1:7" x14ac:dyDescent="0.2">
      <c r="A52" s="9" t="s">
        <v>213</v>
      </c>
      <c r="B52" s="7">
        <v>1.89</v>
      </c>
      <c r="C52" s="7">
        <v>1.91</v>
      </c>
      <c r="D52" s="7">
        <v>1.837</v>
      </c>
      <c r="E52" s="7">
        <v>1.89</v>
      </c>
      <c r="F52" s="13">
        <v>1062.1799999999998</v>
      </c>
      <c r="G52" s="13">
        <v>1062.1799999999998</v>
      </c>
    </row>
    <row r="53" spans="1:7" x14ac:dyDescent="0.2">
      <c r="A53" s="9" t="s">
        <v>212</v>
      </c>
      <c r="B53" s="7">
        <v>1.915</v>
      </c>
      <c r="C53" s="7">
        <v>1.95</v>
      </c>
      <c r="D53" s="7">
        <v>1.867</v>
      </c>
      <c r="E53" s="7">
        <v>1.895</v>
      </c>
      <c r="F53" s="13">
        <v>1064.99</v>
      </c>
      <c r="G53" s="13">
        <v>1064.99</v>
      </c>
    </row>
    <row r="54" spans="1:7" x14ac:dyDescent="0.2">
      <c r="A54" s="9" t="s">
        <v>211</v>
      </c>
      <c r="B54" s="7">
        <v>1.89</v>
      </c>
      <c r="C54" s="7">
        <v>1.96</v>
      </c>
      <c r="D54" s="7">
        <v>1.885</v>
      </c>
      <c r="E54" s="7">
        <v>1.92</v>
      </c>
      <c r="F54" s="13">
        <v>1079.04</v>
      </c>
      <c r="G54" s="13">
        <v>1079.04</v>
      </c>
    </row>
    <row r="55" spans="1:7" x14ac:dyDescent="0.2">
      <c r="A55" s="9" t="s">
        <v>210</v>
      </c>
      <c r="B55" s="7">
        <v>1.91</v>
      </c>
      <c r="C55" s="7">
        <v>1.92</v>
      </c>
      <c r="D55" s="7">
        <v>1.84</v>
      </c>
      <c r="E55" s="7">
        <v>1.865</v>
      </c>
      <c r="F55" s="13">
        <v>1048.1299999999999</v>
      </c>
      <c r="G55" s="13">
        <v>1048.1299999999999</v>
      </c>
    </row>
    <row r="56" spans="1:7" x14ac:dyDescent="0.2">
      <c r="A56" s="9" t="s">
        <v>209</v>
      </c>
      <c r="B56" s="7">
        <v>1.895</v>
      </c>
      <c r="C56" s="7">
        <v>1.895</v>
      </c>
      <c r="D56" s="7">
        <v>1.843</v>
      </c>
      <c r="E56" s="7">
        <v>1.885</v>
      </c>
      <c r="F56" s="13">
        <v>1059.3700000000001</v>
      </c>
      <c r="G56" s="13">
        <v>1059.3700000000001</v>
      </c>
    </row>
    <row r="57" spans="1:7" x14ac:dyDescent="0.2">
      <c r="A57" s="9" t="s">
        <v>208</v>
      </c>
      <c r="B57" s="7">
        <v>1.885</v>
      </c>
      <c r="C57" s="7">
        <v>1.885</v>
      </c>
      <c r="D57" s="7">
        <v>1.845</v>
      </c>
      <c r="E57" s="7">
        <v>1.88</v>
      </c>
      <c r="F57" s="13">
        <v>1056.56</v>
      </c>
      <c r="G57" s="13">
        <v>1056.56</v>
      </c>
    </row>
    <row r="58" spans="1:7" x14ac:dyDescent="0.2">
      <c r="A58" s="9" t="s">
        <v>207</v>
      </c>
      <c r="B58" s="7">
        <v>1.94</v>
      </c>
      <c r="C58" s="7">
        <v>1.98</v>
      </c>
      <c r="D58" s="7">
        <v>1.9</v>
      </c>
      <c r="E58" s="7">
        <v>1.92</v>
      </c>
      <c r="F58" s="13">
        <v>1079.04</v>
      </c>
      <c r="G58" s="13">
        <v>1079.04</v>
      </c>
    </row>
    <row r="59" spans="1:7" x14ac:dyDescent="0.2">
      <c r="A59" s="9" t="s">
        <v>206</v>
      </c>
      <c r="B59" s="7">
        <v>1.82</v>
      </c>
      <c r="C59" s="7">
        <v>1.835</v>
      </c>
      <c r="D59" s="7">
        <v>1.75</v>
      </c>
      <c r="E59" s="7">
        <v>1.8</v>
      </c>
      <c r="F59" s="13">
        <v>1011.6</v>
      </c>
      <c r="G59" s="13">
        <v>1011.6</v>
      </c>
    </row>
    <row r="60" spans="1:7" x14ac:dyDescent="0.2">
      <c r="A60" s="9" t="s">
        <v>205</v>
      </c>
      <c r="B60" s="7">
        <v>1.81</v>
      </c>
      <c r="C60" s="7">
        <v>1.83</v>
      </c>
      <c r="D60" s="7">
        <v>1.74</v>
      </c>
      <c r="E60" s="7">
        <v>1.8</v>
      </c>
      <c r="F60" s="13">
        <v>1011.6</v>
      </c>
      <c r="G60" s="13">
        <v>1011.6</v>
      </c>
    </row>
    <row r="61" spans="1:7" x14ac:dyDescent="0.2">
      <c r="A61" s="9" t="s">
        <v>204</v>
      </c>
      <c r="B61" s="7">
        <v>1.845</v>
      </c>
      <c r="C61" s="7">
        <v>1.853</v>
      </c>
      <c r="D61" s="7">
        <v>1.76</v>
      </c>
      <c r="E61" s="7">
        <v>1.76</v>
      </c>
      <c r="F61" s="13">
        <v>989.12</v>
      </c>
      <c r="G61" s="13">
        <v>989.12</v>
      </c>
    </row>
    <row r="62" spans="1:7" x14ac:dyDescent="0.2">
      <c r="A62" s="9" t="s">
        <v>203</v>
      </c>
      <c r="B62" s="7">
        <v>1.77</v>
      </c>
      <c r="C62" s="7">
        <v>1.8049999999999999</v>
      </c>
      <c r="D62" s="7">
        <v>1.72</v>
      </c>
      <c r="E62" s="7">
        <v>1.8049999999999999</v>
      </c>
      <c r="F62" s="13">
        <v>1014.41</v>
      </c>
      <c r="G62" s="13">
        <v>1014.41</v>
      </c>
    </row>
    <row r="63" spans="1:7" x14ac:dyDescent="0.2">
      <c r="A63" s="9" t="s">
        <v>202</v>
      </c>
      <c r="B63" s="7">
        <v>1.83</v>
      </c>
      <c r="C63" s="7">
        <v>1.89</v>
      </c>
      <c r="D63" s="7">
        <v>1.83</v>
      </c>
      <c r="E63" s="7">
        <v>1.855</v>
      </c>
      <c r="F63" s="13">
        <v>1042.51</v>
      </c>
      <c r="G63" s="13">
        <v>1042.51</v>
      </c>
    </row>
    <row r="64" spans="1:7" x14ac:dyDescent="0.2">
      <c r="A64" s="9" t="s">
        <v>201</v>
      </c>
      <c r="B64" s="7">
        <v>1.9</v>
      </c>
      <c r="C64" s="7">
        <v>1.95</v>
      </c>
      <c r="D64" s="7">
        <v>1.9</v>
      </c>
      <c r="E64" s="7">
        <v>1.9350000000000001</v>
      </c>
      <c r="F64" s="13">
        <v>1087.47</v>
      </c>
      <c r="G64" s="13">
        <v>1087.47</v>
      </c>
    </row>
    <row r="65" spans="1:7" x14ac:dyDescent="0.2">
      <c r="A65" s="9" t="s">
        <v>200</v>
      </c>
      <c r="B65" s="7">
        <v>1.95</v>
      </c>
      <c r="C65" s="7">
        <v>1.96</v>
      </c>
      <c r="D65" s="7">
        <v>1.9</v>
      </c>
      <c r="E65" s="7">
        <v>1.905</v>
      </c>
      <c r="F65" s="13">
        <v>1070.6100000000001</v>
      </c>
      <c r="G65" s="13">
        <v>1070.6100000000001</v>
      </c>
    </row>
    <row r="66" spans="1:7" x14ac:dyDescent="0.2">
      <c r="A66" s="9" t="s">
        <v>199</v>
      </c>
      <c r="B66" s="7">
        <v>1.9350000000000001</v>
      </c>
      <c r="C66" s="7">
        <v>1.9450000000000001</v>
      </c>
      <c r="D66" s="7">
        <v>1.89</v>
      </c>
      <c r="E66" s="7">
        <v>1.91</v>
      </c>
      <c r="F66" s="13">
        <v>1073.4199999999998</v>
      </c>
      <c r="G66" s="13">
        <v>1073.4199999999998</v>
      </c>
    </row>
    <row r="67" spans="1:7" x14ac:dyDescent="0.2">
      <c r="A67" s="9" t="s">
        <v>198</v>
      </c>
      <c r="B67" s="7">
        <v>1.89</v>
      </c>
      <c r="C67" s="7">
        <v>1.89</v>
      </c>
      <c r="D67" s="7">
        <v>1.845</v>
      </c>
      <c r="E67" s="7">
        <v>1.855</v>
      </c>
      <c r="F67" s="13">
        <v>1042.51</v>
      </c>
      <c r="G67" s="13">
        <v>1042.51</v>
      </c>
    </row>
    <row r="68" spans="1:7" x14ac:dyDescent="0.2">
      <c r="A68" s="9" t="s">
        <v>197</v>
      </c>
      <c r="B68" s="7">
        <v>1.9</v>
      </c>
      <c r="C68" s="7">
        <v>1.958</v>
      </c>
      <c r="D68" s="7">
        <v>1.865</v>
      </c>
      <c r="E68" s="7">
        <v>1.9450000000000001</v>
      </c>
      <c r="F68" s="13">
        <v>1093.0900000000001</v>
      </c>
      <c r="G68" s="13">
        <v>1093.0900000000001</v>
      </c>
    </row>
    <row r="69" spans="1:7" x14ac:dyDescent="0.2">
      <c r="A69" s="9" t="s">
        <v>196</v>
      </c>
      <c r="B69" s="7">
        <v>1.97</v>
      </c>
      <c r="C69" s="7">
        <v>1.97</v>
      </c>
      <c r="D69" s="7">
        <v>1.93</v>
      </c>
      <c r="E69" s="7">
        <v>1.95</v>
      </c>
      <c r="F69" s="13">
        <v>1095.8999999999999</v>
      </c>
      <c r="G69" s="13">
        <v>1095.8999999999999</v>
      </c>
    </row>
    <row r="70" spans="1:7" x14ac:dyDescent="0.2">
      <c r="A70" s="9" t="s">
        <v>195</v>
      </c>
      <c r="B70" s="7">
        <v>1.9350000000000001</v>
      </c>
      <c r="C70" s="7">
        <v>1.9450000000000001</v>
      </c>
      <c r="D70" s="7">
        <v>1.915</v>
      </c>
      <c r="E70" s="7">
        <v>1.9450000000000001</v>
      </c>
      <c r="F70" s="13">
        <v>1093.0900000000001</v>
      </c>
      <c r="G70" s="13">
        <v>1093.0900000000001</v>
      </c>
    </row>
    <row r="71" spans="1:7" x14ac:dyDescent="0.2">
      <c r="A71" s="9" t="s">
        <v>194</v>
      </c>
      <c r="B71" s="7">
        <v>1.89</v>
      </c>
      <c r="C71" s="7">
        <v>1.9450000000000001</v>
      </c>
      <c r="D71" s="7">
        <v>1.89</v>
      </c>
      <c r="E71" s="7">
        <v>1.915</v>
      </c>
      <c r="F71" s="13">
        <v>1076.23</v>
      </c>
      <c r="G71" s="13">
        <v>1076.23</v>
      </c>
    </row>
    <row r="72" spans="1:7" x14ac:dyDescent="0.2">
      <c r="A72" s="9" t="s">
        <v>193</v>
      </c>
      <c r="B72" s="7">
        <v>1.9450000000000001</v>
      </c>
      <c r="C72" s="7">
        <v>2.0099999999999998</v>
      </c>
      <c r="D72" s="7">
        <v>1.9419999999999999</v>
      </c>
      <c r="E72" s="7">
        <v>1.9850000000000001</v>
      </c>
      <c r="F72" s="13">
        <v>1115.5700000000002</v>
      </c>
      <c r="G72" s="13">
        <v>1115.5700000000002</v>
      </c>
    </row>
    <row r="73" spans="1:7" x14ac:dyDescent="0.2">
      <c r="A73" s="9" t="s">
        <v>192</v>
      </c>
      <c r="B73" s="7">
        <v>1.9350000000000001</v>
      </c>
      <c r="C73" s="7">
        <v>1.9550000000000001</v>
      </c>
      <c r="D73" s="7">
        <v>1.895</v>
      </c>
      <c r="E73" s="7">
        <v>1.895</v>
      </c>
      <c r="F73" s="13">
        <v>1064.99</v>
      </c>
      <c r="G73" s="13">
        <v>1064.99</v>
      </c>
    </row>
    <row r="74" spans="1:7" x14ac:dyDescent="0.2">
      <c r="A74" s="9" t="s">
        <v>191</v>
      </c>
      <c r="B74" s="7">
        <v>1.87</v>
      </c>
      <c r="C74" s="7">
        <v>1.895</v>
      </c>
      <c r="D74" s="7">
        <v>1.837</v>
      </c>
      <c r="E74" s="7">
        <v>1.845</v>
      </c>
      <c r="F74" s="13">
        <v>1036.8899999999999</v>
      </c>
      <c r="G74" s="13">
        <v>1036.8899999999999</v>
      </c>
    </row>
    <row r="75" spans="1:7" x14ac:dyDescent="0.2">
      <c r="A75" s="9" t="s">
        <v>190</v>
      </c>
      <c r="B75" s="7">
        <v>1.855</v>
      </c>
      <c r="C75" s="7">
        <v>1.895</v>
      </c>
      <c r="D75" s="7">
        <v>1.85</v>
      </c>
      <c r="E75" s="7">
        <v>1.88</v>
      </c>
      <c r="F75" s="13">
        <v>1056.56</v>
      </c>
      <c r="G75" s="13">
        <v>1056.56</v>
      </c>
    </row>
    <row r="76" spans="1:7" x14ac:dyDescent="0.2">
      <c r="A76" s="9" t="s">
        <v>189</v>
      </c>
      <c r="B76" s="7">
        <v>1.87</v>
      </c>
      <c r="C76" s="7">
        <v>1.9</v>
      </c>
      <c r="D76" s="7">
        <v>1.8149999999999999</v>
      </c>
      <c r="E76" s="7">
        <v>1.825</v>
      </c>
      <c r="F76" s="13">
        <v>1025.6499999999999</v>
      </c>
      <c r="G76" s="13">
        <v>1025.6499999999999</v>
      </c>
    </row>
    <row r="77" spans="1:7" x14ac:dyDescent="0.2">
      <c r="A77" s="9" t="s">
        <v>188</v>
      </c>
      <c r="B77" s="7">
        <v>1.81</v>
      </c>
      <c r="C77" s="7">
        <v>1.89</v>
      </c>
      <c r="D77" s="7">
        <v>1.7949999999999999</v>
      </c>
      <c r="E77" s="7">
        <v>1.875</v>
      </c>
      <c r="F77" s="13">
        <v>1053.75</v>
      </c>
      <c r="G77" s="13">
        <v>1053.75</v>
      </c>
    </row>
    <row r="78" spans="1:7" x14ac:dyDescent="0.2">
      <c r="A78" s="9" t="s">
        <v>187</v>
      </c>
      <c r="B78" s="7">
        <v>1.895</v>
      </c>
      <c r="C78" s="7">
        <v>1.905</v>
      </c>
      <c r="D78" s="7">
        <v>1.825</v>
      </c>
      <c r="E78" s="7">
        <v>1.835</v>
      </c>
      <c r="F78" s="13">
        <v>1031.27</v>
      </c>
      <c r="G78" s="13">
        <v>1031.27</v>
      </c>
    </row>
    <row r="79" spans="1:7" x14ac:dyDescent="0.2">
      <c r="A79" s="9" t="s">
        <v>186</v>
      </c>
      <c r="B79" s="7">
        <v>1.77</v>
      </c>
      <c r="C79" s="7">
        <v>1.7849999999999999</v>
      </c>
      <c r="D79" s="7">
        <v>1.72</v>
      </c>
      <c r="E79" s="7">
        <v>1.7450000000000001</v>
      </c>
      <c r="F79" s="13">
        <v>980.69</v>
      </c>
      <c r="G79" s="13">
        <v>980.69</v>
      </c>
    </row>
    <row r="80" spans="1:7" x14ac:dyDescent="0.2">
      <c r="A80" s="9" t="s">
        <v>185</v>
      </c>
      <c r="B80" s="7">
        <v>1.77</v>
      </c>
      <c r="C80" s="7">
        <v>1.792</v>
      </c>
      <c r="D80" s="7">
        <v>1.7549999999999999</v>
      </c>
      <c r="E80" s="7">
        <v>1.7649999999999999</v>
      </c>
      <c r="F80" s="13">
        <v>991.93</v>
      </c>
      <c r="G80" s="13">
        <v>991.93</v>
      </c>
    </row>
    <row r="81" spans="1:7" x14ac:dyDescent="0.2">
      <c r="A81" s="9" t="s">
        <v>184</v>
      </c>
      <c r="B81" s="7">
        <v>1.77</v>
      </c>
      <c r="C81" s="7">
        <v>1.8</v>
      </c>
      <c r="D81" s="7">
        <v>1.74</v>
      </c>
      <c r="E81" s="7">
        <v>1.7549999999999999</v>
      </c>
      <c r="F81" s="13">
        <v>986.31</v>
      </c>
      <c r="G81" s="13">
        <v>986.31</v>
      </c>
    </row>
    <row r="82" spans="1:7" x14ac:dyDescent="0.2">
      <c r="A82" s="9" t="s">
        <v>183</v>
      </c>
      <c r="B82" s="7">
        <v>1.7649999999999999</v>
      </c>
      <c r="C82" s="7">
        <v>1.79</v>
      </c>
      <c r="D82" s="7">
        <v>1.7450000000000001</v>
      </c>
      <c r="E82" s="7">
        <v>1.77</v>
      </c>
      <c r="F82" s="13">
        <v>994.74</v>
      </c>
      <c r="G82" s="13">
        <v>994.74</v>
      </c>
    </row>
    <row r="83" spans="1:7" x14ac:dyDescent="0.2">
      <c r="A83" s="9" t="s">
        <v>182</v>
      </c>
      <c r="B83" s="7">
        <v>1.81</v>
      </c>
      <c r="C83" s="7">
        <v>1.825</v>
      </c>
      <c r="D83" s="7">
        <v>1.76</v>
      </c>
      <c r="E83" s="7">
        <v>1.76</v>
      </c>
      <c r="F83" s="13">
        <v>989.12</v>
      </c>
      <c r="G83" s="13">
        <v>989.12</v>
      </c>
    </row>
    <row r="84" spans="1:7" x14ac:dyDescent="0.2">
      <c r="A84" s="9" t="s">
        <v>181</v>
      </c>
      <c r="B84" s="7">
        <v>1.6950000000000001</v>
      </c>
      <c r="C84" s="7">
        <v>1.7050000000000001</v>
      </c>
      <c r="D84" s="7">
        <v>1.665</v>
      </c>
      <c r="E84" s="7">
        <v>1.68</v>
      </c>
      <c r="F84" s="13">
        <v>944.16</v>
      </c>
      <c r="G84" s="13">
        <v>944.16</v>
      </c>
    </row>
    <row r="85" spans="1:7" x14ac:dyDescent="0.2">
      <c r="A85" s="9" t="s">
        <v>180</v>
      </c>
      <c r="B85" s="7">
        <v>1.7</v>
      </c>
      <c r="C85" s="7">
        <v>1.738</v>
      </c>
      <c r="D85" s="7">
        <v>1.7</v>
      </c>
      <c r="E85" s="7">
        <v>1.7</v>
      </c>
      <c r="F85" s="13">
        <v>955.4</v>
      </c>
      <c r="G85" s="13">
        <v>955.4</v>
      </c>
    </row>
    <row r="86" spans="1:7" x14ac:dyDescent="0.2">
      <c r="A86" s="9" t="s">
        <v>179</v>
      </c>
      <c r="B86" s="7">
        <v>1.7050000000000001</v>
      </c>
      <c r="C86" s="7">
        <v>1.7150000000000001</v>
      </c>
      <c r="D86" s="7">
        <v>1.67</v>
      </c>
      <c r="E86" s="7">
        <v>1.7</v>
      </c>
      <c r="F86" s="13">
        <v>955.4</v>
      </c>
      <c r="G86" s="13">
        <v>955.4</v>
      </c>
    </row>
    <row r="87" spans="1:7" x14ac:dyDescent="0.2">
      <c r="A87" s="9" t="s">
        <v>178</v>
      </c>
      <c r="B87" s="7">
        <v>1.7</v>
      </c>
      <c r="C87" s="7">
        <v>1.74</v>
      </c>
      <c r="D87" s="7">
        <v>1.7</v>
      </c>
      <c r="E87" s="7">
        <v>1.71</v>
      </c>
      <c r="F87" s="13">
        <v>961.02</v>
      </c>
      <c r="G87" s="13">
        <v>961.02</v>
      </c>
    </row>
    <row r="88" spans="1:7" x14ac:dyDescent="0.2">
      <c r="A88" s="9" t="s">
        <v>177</v>
      </c>
      <c r="B88" s="7">
        <v>1.7450000000000001</v>
      </c>
      <c r="C88" s="7">
        <v>1.7949999999999999</v>
      </c>
      <c r="D88" s="7">
        <v>1.7350000000000001</v>
      </c>
      <c r="E88" s="7">
        <v>1.79</v>
      </c>
      <c r="F88" s="13">
        <v>1005.98</v>
      </c>
      <c r="G88" s="13">
        <v>1005.98</v>
      </c>
    </row>
    <row r="89" spans="1:7" x14ac:dyDescent="0.2">
      <c r="A89" s="9" t="s">
        <v>176</v>
      </c>
      <c r="B89" s="7">
        <v>1.7949999999999999</v>
      </c>
      <c r="C89" s="7">
        <v>1.8049999999999999</v>
      </c>
      <c r="D89" s="7">
        <v>1.78</v>
      </c>
      <c r="E89" s="7">
        <v>1.7949999999999999</v>
      </c>
      <c r="F89" s="13">
        <v>1008.79</v>
      </c>
      <c r="G89" s="13">
        <v>1008.79</v>
      </c>
    </row>
    <row r="90" spans="1:7" x14ac:dyDescent="0.2">
      <c r="A90" s="9" t="s">
        <v>175</v>
      </c>
      <c r="B90" s="7">
        <v>1.7849999999999999</v>
      </c>
      <c r="C90" s="7">
        <v>1.79</v>
      </c>
      <c r="D90" s="7">
        <v>1.7549999999999999</v>
      </c>
      <c r="E90" s="7">
        <v>1.77</v>
      </c>
      <c r="F90" s="13">
        <v>994.74</v>
      </c>
      <c r="G90" s="13">
        <v>994.74</v>
      </c>
    </row>
    <row r="91" spans="1:7" x14ac:dyDescent="0.2">
      <c r="A91" s="9" t="s">
        <v>174</v>
      </c>
      <c r="B91" s="7">
        <v>1.82</v>
      </c>
      <c r="C91" s="7">
        <v>1.83</v>
      </c>
      <c r="D91" s="7">
        <v>1.7949999999999999</v>
      </c>
      <c r="E91" s="7">
        <v>1.8149999999999999</v>
      </c>
      <c r="F91" s="13">
        <v>1020.03</v>
      </c>
      <c r="G91" s="13">
        <v>1020.03</v>
      </c>
    </row>
    <row r="92" spans="1:7" x14ac:dyDescent="0.2">
      <c r="A92" s="9" t="s">
        <v>173</v>
      </c>
      <c r="B92" s="7">
        <v>1.82</v>
      </c>
      <c r="C92" s="7">
        <v>1.83</v>
      </c>
      <c r="D92" s="7">
        <v>1.7949999999999999</v>
      </c>
      <c r="E92" s="7">
        <v>1.825</v>
      </c>
      <c r="F92" s="13">
        <v>1025.6499999999999</v>
      </c>
      <c r="G92" s="13">
        <v>1025.6499999999999</v>
      </c>
    </row>
    <row r="93" spans="1:7" x14ac:dyDescent="0.2">
      <c r="A93" s="9" t="s">
        <v>172</v>
      </c>
      <c r="B93" s="7">
        <v>1.82</v>
      </c>
      <c r="C93" s="7">
        <v>1.855</v>
      </c>
      <c r="D93" s="7">
        <v>1.78</v>
      </c>
      <c r="E93" s="7">
        <v>1.845</v>
      </c>
      <c r="F93" s="13">
        <v>1036.8899999999999</v>
      </c>
      <c r="G93" s="13">
        <v>1036.8899999999999</v>
      </c>
    </row>
    <row r="94" spans="1:7" x14ac:dyDescent="0.2">
      <c r="A94" s="9" t="s">
        <v>171</v>
      </c>
      <c r="B94" s="7">
        <v>1.87</v>
      </c>
      <c r="C94" s="7">
        <v>1.87</v>
      </c>
      <c r="D94" s="7">
        <v>1.8149999999999999</v>
      </c>
      <c r="E94" s="7">
        <v>1.8149999999999999</v>
      </c>
      <c r="F94" s="13">
        <v>1020.03</v>
      </c>
      <c r="G94" s="13">
        <v>1020.03</v>
      </c>
    </row>
    <row r="95" spans="1:7" x14ac:dyDescent="0.2">
      <c r="A95" s="9" t="s">
        <v>170</v>
      </c>
      <c r="B95" s="7">
        <v>1.85</v>
      </c>
      <c r="C95" s="7">
        <v>1.89</v>
      </c>
      <c r="D95" s="7">
        <v>1.845</v>
      </c>
      <c r="E95" s="7">
        <v>1.875</v>
      </c>
      <c r="F95" s="13">
        <v>1053.75</v>
      </c>
      <c r="G95" s="13">
        <v>1053.75</v>
      </c>
    </row>
    <row r="96" spans="1:7" x14ac:dyDescent="0.2">
      <c r="A96" s="9" t="s">
        <v>169</v>
      </c>
      <c r="B96" s="7">
        <v>1.855</v>
      </c>
      <c r="C96" s="7">
        <v>1.875</v>
      </c>
      <c r="D96" s="7">
        <v>1.84</v>
      </c>
      <c r="E96" s="7">
        <v>1.87</v>
      </c>
      <c r="F96" s="13">
        <v>1050.94</v>
      </c>
      <c r="G96" s="13">
        <v>1050.94</v>
      </c>
    </row>
    <row r="97" spans="1:7" x14ac:dyDescent="0.2">
      <c r="A97" s="9" t="s">
        <v>168</v>
      </c>
      <c r="B97" s="7">
        <v>1.9</v>
      </c>
      <c r="C97" s="7">
        <v>1.94</v>
      </c>
      <c r="D97" s="7">
        <v>1.9</v>
      </c>
      <c r="E97" s="7">
        <v>1.915</v>
      </c>
      <c r="F97" s="13">
        <v>1076.23</v>
      </c>
      <c r="G97" s="13">
        <v>1076.23</v>
      </c>
    </row>
    <row r="98" spans="1:7" x14ac:dyDescent="0.2">
      <c r="A98" s="9" t="s">
        <v>167</v>
      </c>
      <c r="B98" s="7">
        <v>1.915</v>
      </c>
      <c r="C98" s="7">
        <v>1.94</v>
      </c>
      <c r="D98" s="7">
        <v>1.915</v>
      </c>
      <c r="E98" s="7">
        <v>1.92</v>
      </c>
      <c r="F98" s="13">
        <v>1079.04</v>
      </c>
      <c r="G98" s="13">
        <v>1079.04</v>
      </c>
    </row>
    <row r="99" spans="1:7" x14ac:dyDescent="0.2">
      <c r="A99" s="9" t="s">
        <v>166</v>
      </c>
      <c r="B99" s="7">
        <v>1.92</v>
      </c>
      <c r="C99" s="7">
        <v>1.925</v>
      </c>
      <c r="D99" s="7">
        <v>1.883</v>
      </c>
      <c r="E99" s="7">
        <v>1.89</v>
      </c>
      <c r="F99" s="13">
        <v>1062.1799999999998</v>
      </c>
      <c r="G99" s="13">
        <v>1062.1799999999998</v>
      </c>
    </row>
    <row r="100" spans="1:7" x14ac:dyDescent="0.2">
      <c r="A100" s="9" t="s">
        <v>165</v>
      </c>
      <c r="B100" s="7">
        <v>1.845</v>
      </c>
      <c r="C100" s="7">
        <v>1.845</v>
      </c>
      <c r="D100" s="7">
        <v>1.79</v>
      </c>
      <c r="E100" s="7">
        <v>1.79</v>
      </c>
      <c r="F100" s="13">
        <v>1005.98</v>
      </c>
      <c r="G100" s="13">
        <v>1005.98</v>
      </c>
    </row>
    <row r="101" spans="1:7" x14ac:dyDescent="0.2">
      <c r="A101" s="9" t="s">
        <v>164</v>
      </c>
      <c r="B101" s="7">
        <v>1.77</v>
      </c>
      <c r="C101" s="7">
        <v>1.79</v>
      </c>
      <c r="D101" s="7">
        <v>1.7549999999999999</v>
      </c>
      <c r="E101" s="7">
        <v>1.78</v>
      </c>
      <c r="F101" s="13">
        <v>1000.36</v>
      </c>
      <c r="G101" s="13">
        <v>1000.36</v>
      </c>
    </row>
    <row r="102" spans="1:7" x14ac:dyDescent="0.2">
      <c r="A102" s="9" t="s">
        <v>163</v>
      </c>
      <c r="B102" s="7">
        <v>1.8</v>
      </c>
      <c r="C102" s="7">
        <v>1.855</v>
      </c>
      <c r="D102" s="7">
        <v>1.7949999999999999</v>
      </c>
      <c r="E102" s="7">
        <v>1.855</v>
      </c>
      <c r="F102" s="13">
        <v>1042.51</v>
      </c>
      <c r="G102" s="13">
        <v>1042.51</v>
      </c>
    </row>
    <row r="103" spans="1:7" x14ac:dyDescent="0.2">
      <c r="A103" s="9" t="s">
        <v>162</v>
      </c>
      <c r="B103" s="7">
        <v>1.88</v>
      </c>
      <c r="C103" s="7">
        <v>1.88</v>
      </c>
      <c r="D103" s="7">
        <v>1.835</v>
      </c>
      <c r="E103" s="7">
        <v>1.85</v>
      </c>
      <c r="F103" s="13">
        <v>1039.7</v>
      </c>
      <c r="G103" s="13">
        <v>1039.7</v>
      </c>
    </row>
    <row r="104" spans="1:7" x14ac:dyDescent="0.2">
      <c r="A104" s="9" t="s">
        <v>161</v>
      </c>
      <c r="B104" s="7">
        <v>1.84</v>
      </c>
      <c r="C104" s="7">
        <v>1.9450000000000001</v>
      </c>
      <c r="D104" s="7">
        <v>1.84</v>
      </c>
      <c r="E104" s="7">
        <v>1.91</v>
      </c>
      <c r="F104" s="13">
        <v>1073.4199999999998</v>
      </c>
      <c r="G104" s="13">
        <v>1073.4199999999998</v>
      </c>
    </row>
    <row r="105" spans="1:7" x14ac:dyDescent="0.2">
      <c r="A105" s="9" t="s">
        <v>160</v>
      </c>
      <c r="B105" s="7">
        <v>1.9</v>
      </c>
      <c r="C105" s="7">
        <v>1.915</v>
      </c>
      <c r="D105" s="7">
        <v>1.75</v>
      </c>
      <c r="E105" s="7">
        <v>1.8</v>
      </c>
      <c r="F105" s="13">
        <v>1011.6</v>
      </c>
      <c r="G105" s="13">
        <v>1011.6</v>
      </c>
    </row>
    <row r="106" spans="1:7" x14ac:dyDescent="0.2">
      <c r="A106" s="9" t="s">
        <v>159</v>
      </c>
      <c r="B106" s="7">
        <v>1.82</v>
      </c>
      <c r="C106" s="7">
        <v>1.875</v>
      </c>
      <c r="D106" s="7">
        <v>1.8</v>
      </c>
      <c r="E106" s="7">
        <v>1.875</v>
      </c>
      <c r="F106" s="13">
        <v>1053.75</v>
      </c>
      <c r="G106" s="13">
        <v>1053.75</v>
      </c>
    </row>
    <row r="107" spans="1:7" x14ac:dyDescent="0.2">
      <c r="A107" s="9" t="s">
        <v>158</v>
      </c>
      <c r="B107" s="7">
        <v>1.85</v>
      </c>
      <c r="C107" s="7">
        <v>1.88</v>
      </c>
      <c r="D107" s="7">
        <v>1.8149999999999999</v>
      </c>
      <c r="E107" s="7">
        <v>1.8149999999999999</v>
      </c>
      <c r="F107" s="13">
        <v>1020.03</v>
      </c>
      <c r="G107" s="13">
        <v>1020.03</v>
      </c>
    </row>
    <row r="108" spans="1:7" x14ac:dyDescent="0.2">
      <c r="A108" s="9" t="s">
        <v>157</v>
      </c>
      <c r="B108" s="7">
        <v>1.84</v>
      </c>
      <c r="C108" s="7">
        <v>1.867</v>
      </c>
      <c r="D108" s="7">
        <v>1.8169999999999999</v>
      </c>
      <c r="E108" s="7">
        <v>1.82</v>
      </c>
      <c r="F108" s="13">
        <v>1022.84</v>
      </c>
      <c r="G108" s="13">
        <v>1022.84</v>
      </c>
    </row>
    <row r="109" spans="1:7" x14ac:dyDescent="0.2">
      <c r="A109" s="9" t="s">
        <v>156</v>
      </c>
      <c r="B109" s="7">
        <v>1.825</v>
      </c>
      <c r="C109" s="7">
        <v>1.835</v>
      </c>
      <c r="D109" s="7">
        <v>1.7749999999999999</v>
      </c>
      <c r="E109" s="7">
        <v>1.83</v>
      </c>
      <c r="F109" s="13">
        <v>1028.46</v>
      </c>
      <c r="G109" s="13">
        <v>1028.46</v>
      </c>
    </row>
    <row r="110" spans="1:7" x14ac:dyDescent="0.2">
      <c r="A110" s="9" t="s">
        <v>155</v>
      </c>
      <c r="B110" s="7">
        <v>1.885</v>
      </c>
      <c r="C110" s="7">
        <v>1.96</v>
      </c>
      <c r="D110" s="7">
        <v>1.86</v>
      </c>
      <c r="E110" s="7">
        <v>1.92</v>
      </c>
      <c r="F110" s="13">
        <v>1079.04</v>
      </c>
      <c r="G110" s="13">
        <v>1079.04</v>
      </c>
    </row>
    <row r="111" spans="1:7" x14ac:dyDescent="0.2">
      <c r="A111" s="9" t="s">
        <v>154</v>
      </c>
      <c r="B111" s="7">
        <v>1.9650000000000001</v>
      </c>
      <c r="C111" s="7">
        <v>2</v>
      </c>
      <c r="D111" s="7">
        <v>1.96</v>
      </c>
      <c r="E111" s="7">
        <v>1.99</v>
      </c>
      <c r="F111" s="13">
        <v>1118.3799999999999</v>
      </c>
      <c r="G111" s="13">
        <v>1118.3799999999999</v>
      </c>
    </row>
    <row r="112" spans="1:7" x14ac:dyDescent="0.2">
      <c r="A112" s="9" t="s">
        <v>153</v>
      </c>
      <c r="B112" s="7">
        <v>1.87</v>
      </c>
      <c r="C112" s="7">
        <v>1.88</v>
      </c>
      <c r="D112" s="7">
        <v>1.802</v>
      </c>
      <c r="E112" s="7">
        <v>1.8149999999999999</v>
      </c>
      <c r="F112" s="13">
        <v>1020.03</v>
      </c>
      <c r="G112" s="13">
        <v>1020.03</v>
      </c>
    </row>
    <row r="113" spans="1:7" x14ac:dyDescent="0.2">
      <c r="A113" s="9" t="s">
        <v>152</v>
      </c>
      <c r="B113" s="7">
        <v>1.85</v>
      </c>
      <c r="C113" s="7">
        <v>1.85</v>
      </c>
      <c r="D113" s="7">
        <v>1.78</v>
      </c>
      <c r="E113" s="7">
        <v>1.7949999999999999</v>
      </c>
      <c r="F113" s="13">
        <v>1008.79</v>
      </c>
      <c r="G113" s="13">
        <v>1008.79</v>
      </c>
    </row>
    <row r="114" spans="1:7" x14ac:dyDescent="0.2">
      <c r="A114" s="9" t="s">
        <v>151</v>
      </c>
      <c r="B114" s="7">
        <v>1.825</v>
      </c>
      <c r="C114" s="7">
        <v>1.835</v>
      </c>
      <c r="D114" s="7">
        <v>1.77</v>
      </c>
      <c r="E114" s="7">
        <v>1.78</v>
      </c>
      <c r="F114" s="13">
        <v>1000.36</v>
      </c>
      <c r="G114" s="13">
        <v>1000.36</v>
      </c>
    </row>
    <row r="115" spans="1:7" x14ac:dyDescent="0.2">
      <c r="A115" s="9" t="s">
        <v>150</v>
      </c>
      <c r="B115" s="7">
        <v>1.7649999999999999</v>
      </c>
      <c r="C115" s="7">
        <v>1.77</v>
      </c>
      <c r="D115" s="7">
        <v>1.7150000000000001</v>
      </c>
      <c r="E115" s="7">
        <v>1.7250000000000001</v>
      </c>
      <c r="F115" s="13">
        <v>969.45</v>
      </c>
      <c r="G115" s="13">
        <v>969.45</v>
      </c>
    </row>
    <row r="116" spans="1:7" x14ac:dyDescent="0.2">
      <c r="A116" s="9" t="s">
        <v>149</v>
      </c>
      <c r="B116" s="7">
        <v>1.74</v>
      </c>
      <c r="C116" s="7">
        <v>1.778</v>
      </c>
      <c r="D116" s="7">
        <v>1.73</v>
      </c>
      <c r="E116" s="7">
        <v>1.7649999999999999</v>
      </c>
      <c r="F116" s="13">
        <v>991.93</v>
      </c>
      <c r="G116" s="13">
        <v>991.93</v>
      </c>
    </row>
    <row r="117" spans="1:7" x14ac:dyDescent="0.2">
      <c r="A117" s="9" t="s">
        <v>148</v>
      </c>
      <c r="B117" s="7">
        <v>1.78</v>
      </c>
      <c r="C117" s="7">
        <v>1.8</v>
      </c>
      <c r="D117" s="7">
        <v>1.75</v>
      </c>
      <c r="E117" s="7">
        <v>1.7649999999999999</v>
      </c>
      <c r="F117" s="13">
        <v>991.93</v>
      </c>
      <c r="G117" s="13">
        <v>991.93</v>
      </c>
    </row>
    <row r="118" spans="1:7" x14ac:dyDescent="0.2">
      <c r="A118" s="9" t="s">
        <v>147</v>
      </c>
      <c r="B118" s="7">
        <v>1.8049999999999999</v>
      </c>
      <c r="C118" s="7">
        <v>1.825</v>
      </c>
      <c r="D118" s="7">
        <v>1.78</v>
      </c>
      <c r="E118" s="7">
        <v>1.81</v>
      </c>
      <c r="F118" s="13">
        <v>1017.22</v>
      </c>
      <c r="G118" s="13">
        <v>1017.22</v>
      </c>
    </row>
    <row r="119" spans="1:7" x14ac:dyDescent="0.2">
      <c r="A119" s="9" t="s">
        <v>146</v>
      </c>
      <c r="B119" s="7">
        <v>1.81</v>
      </c>
      <c r="C119" s="7">
        <v>1.82</v>
      </c>
      <c r="D119" s="7">
        <v>1.7949999999999999</v>
      </c>
      <c r="E119" s="7">
        <v>1.81</v>
      </c>
      <c r="F119" s="13">
        <v>1017.22</v>
      </c>
      <c r="G119" s="13">
        <v>1017.22</v>
      </c>
    </row>
    <row r="120" spans="1:7" x14ac:dyDescent="0.2">
      <c r="A120" s="9" t="s">
        <v>145</v>
      </c>
      <c r="B120" s="7">
        <v>1.875</v>
      </c>
      <c r="C120" s="7">
        <v>1.89</v>
      </c>
      <c r="D120" s="7">
        <v>1.843</v>
      </c>
      <c r="E120" s="7">
        <v>1.89</v>
      </c>
      <c r="F120" s="13">
        <v>1062.1799999999998</v>
      </c>
      <c r="G120" s="13">
        <v>1062.1799999999998</v>
      </c>
    </row>
    <row r="121" spans="1:7" x14ac:dyDescent="0.2">
      <c r="A121" s="9" t="s">
        <v>144</v>
      </c>
      <c r="B121" s="7">
        <v>1.845</v>
      </c>
      <c r="C121" s="7">
        <v>1.855</v>
      </c>
      <c r="D121" s="7">
        <v>1.82</v>
      </c>
      <c r="E121" s="7">
        <v>1.83</v>
      </c>
      <c r="F121" s="13">
        <v>1028.46</v>
      </c>
      <c r="G121" s="13">
        <v>1028.46</v>
      </c>
    </row>
    <row r="122" spans="1:7" x14ac:dyDescent="0.2">
      <c r="A122" s="9" t="s">
        <v>143</v>
      </c>
      <c r="B122" s="7">
        <v>1.855</v>
      </c>
      <c r="C122" s="7">
        <v>1.855</v>
      </c>
      <c r="D122" s="7">
        <v>1.8049999999999999</v>
      </c>
      <c r="E122" s="7">
        <v>1.83</v>
      </c>
      <c r="F122" s="13">
        <v>1028.46</v>
      </c>
      <c r="G122" s="13">
        <v>1028.46</v>
      </c>
    </row>
    <row r="123" spans="1:7" x14ac:dyDescent="0.2">
      <c r="A123" s="9" t="s">
        <v>142</v>
      </c>
      <c r="B123" s="7">
        <v>1.8049999999999999</v>
      </c>
      <c r="C123" s="7">
        <v>1.8120000000000001</v>
      </c>
      <c r="D123" s="7">
        <v>1.742</v>
      </c>
      <c r="E123" s="7">
        <v>1.75</v>
      </c>
      <c r="F123" s="13">
        <v>983.5</v>
      </c>
      <c r="G123" s="13">
        <v>983.5</v>
      </c>
    </row>
    <row r="124" spans="1:7" x14ac:dyDescent="0.2">
      <c r="A124" s="9" t="s">
        <v>141</v>
      </c>
      <c r="B124" s="7">
        <v>1.7250000000000001</v>
      </c>
      <c r="C124" s="7">
        <v>1.73</v>
      </c>
      <c r="D124" s="7">
        <v>1.68</v>
      </c>
      <c r="E124" s="7">
        <v>1.73</v>
      </c>
      <c r="F124" s="13">
        <v>972.26</v>
      </c>
      <c r="G124" s="13">
        <v>972.26</v>
      </c>
    </row>
    <row r="125" spans="1:7" x14ac:dyDescent="0.2">
      <c r="A125" s="9" t="s">
        <v>140</v>
      </c>
      <c r="B125" s="7">
        <v>1.74</v>
      </c>
      <c r="C125" s="7">
        <v>1.7749999999999999</v>
      </c>
      <c r="D125" s="7">
        <v>1.722</v>
      </c>
      <c r="E125" s="7">
        <v>1.7549999999999999</v>
      </c>
      <c r="F125" s="13">
        <v>986.31</v>
      </c>
      <c r="G125" s="13">
        <v>986.31</v>
      </c>
    </row>
    <row r="126" spans="1:7" x14ac:dyDescent="0.2">
      <c r="A126" s="9" t="s">
        <v>139</v>
      </c>
      <c r="B126" s="7">
        <v>1.74</v>
      </c>
      <c r="C126" s="7">
        <v>1.7749999999999999</v>
      </c>
      <c r="D126" s="7">
        <v>1.72</v>
      </c>
      <c r="E126" s="7">
        <v>1.7649999999999999</v>
      </c>
      <c r="F126" s="13">
        <v>991.93</v>
      </c>
      <c r="G126" s="13">
        <v>991.93</v>
      </c>
    </row>
    <row r="127" spans="1:7" x14ac:dyDescent="0.2">
      <c r="A127" s="9" t="s">
        <v>138</v>
      </c>
      <c r="B127" s="7">
        <v>1.7549999999999999</v>
      </c>
      <c r="C127" s="7">
        <v>1.7949999999999999</v>
      </c>
      <c r="D127" s="7">
        <v>1.75</v>
      </c>
      <c r="E127" s="7">
        <v>1.76</v>
      </c>
      <c r="F127" s="13">
        <v>989.12</v>
      </c>
      <c r="G127" s="13">
        <v>989.12</v>
      </c>
    </row>
    <row r="128" spans="1:7" x14ac:dyDescent="0.2">
      <c r="A128" s="9" t="s">
        <v>137</v>
      </c>
      <c r="B128" s="7">
        <v>1.77</v>
      </c>
      <c r="C128" s="7">
        <v>1.8049999999999999</v>
      </c>
      <c r="D128" s="7">
        <v>1.7549999999999999</v>
      </c>
      <c r="E128" s="7">
        <v>1.7949999999999999</v>
      </c>
      <c r="F128" s="13">
        <v>1008.79</v>
      </c>
      <c r="G128" s="13">
        <v>1008.79</v>
      </c>
    </row>
    <row r="129" spans="1:7" x14ac:dyDescent="0.2">
      <c r="A129" s="9" t="s">
        <v>136</v>
      </c>
      <c r="B129" s="7">
        <v>1.84</v>
      </c>
      <c r="C129" s="7">
        <v>1.875</v>
      </c>
      <c r="D129" s="7">
        <v>1.827</v>
      </c>
      <c r="E129" s="7">
        <v>1.865</v>
      </c>
      <c r="F129" s="13">
        <v>1048.1299999999999</v>
      </c>
      <c r="G129" s="13">
        <v>1048.1299999999999</v>
      </c>
    </row>
    <row r="130" spans="1:7" x14ac:dyDescent="0.2">
      <c r="A130" s="9" t="s">
        <v>135</v>
      </c>
      <c r="B130" s="7">
        <v>1.865</v>
      </c>
      <c r="C130" s="7">
        <v>1.9</v>
      </c>
      <c r="D130" s="7">
        <v>1.845</v>
      </c>
      <c r="E130" s="7">
        <v>1.895</v>
      </c>
      <c r="F130" s="13">
        <v>1064.99</v>
      </c>
      <c r="G130" s="13">
        <v>1064.99</v>
      </c>
    </row>
    <row r="131" spans="1:7" x14ac:dyDescent="0.2">
      <c r="A131" s="9" t="s">
        <v>134</v>
      </c>
      <c r="B131" s="7">
        <v>1.925</v>
      </c>
      <c r="C131" s="7">
        <v>1.93</v>
      </c>
      <c r="D131" s="7">
        <v>1.875</v>
      </c>
      <c r="E131" s="7">
        <v>1.88</v>
      </c>
      <c r="F131" s="13">
        <v>1056.56</v>
      </c>
      <c r="G131" s="13">
        <v>1056.56</v>
      </c>
    </row>
    <row r="132" spans="1:7" x14ac:dyDescent="0.2">
      <c r="A132" s="9" t="s">
        <v>133</v>
      </c>
      <c r="B132" s="7">
        <v>1.87</v>
      </c>
      <c r="C132" s="7">
        <v>1.895</v>
      </c>
      <c r="D132" s="7">
        <v>1.855</v>
      </c>
      <c r="E132" s="7">
        <v>1.895</v>
      </c>
      <c r="F132" s="13">
        <v>1064.99</v>
      </c>
      <c r="G132" s="13">
        <v>1064.99</v>
      </c>
    </row>
    <row r="133" spans="1:7" x14ac:dyDescent="0.2">
      <c r="A133" s="9" t="s">
        <v>132</v>
      </c>
      <c r="B133" s="7">
        <v>1.885</v>
      </c>
      <c r="C133" s="7">
        <v>1.903</v>
      </c>
      <c r="D133" s="7">
        <v>1.857</v>
      </c>
      <c r="E133" s="7">
        <v>1.88</v>
      </c>
      <c r="F133" s="13">
        <v>1056.56</v>
      </c>
      <c r="G133" s="13">
        <v>1056.56</v>
      </c>
    </row>
    <row r="134" spans="1:7" x14ac:dyDescent="0.2">
      <c r="A134" s="9" t="s">
        <v>131</v>
      </c>
      <c r="B134" s="7">
        <v>1.91</v>
      </c>
      <c r="C134" s="7">
        <v>1.97</v>
      </c>
      <c r="D134" s="7">
        <v>1.89</v>
      </c>
      <c r="E134" s="7">
        <v>1.9550000000000001</v>
      </c>
      <c r="F134" s="13">
        <v>1098.71</v>
      </c>
      <c r="G134" s="13">
        <v>1098.71</v>
      </c>
    </row>
    <row r="135" spans="1:7" x14ac:dyDescent="0.2">
      <c r="A135" s="9" t="s">
        <v>130</v>
      </c>
      <c r="B135" s="7">
        <v>1.99</v>
      </c>
      <c r="C135" s="7">
        <v>2.0699999999999998</v>
      </c>
      <c r="D135" s="7">
        <v>1.96</v>
      </c>
      <c r="E135" s="7">
        <v>2.0699999999999998</v>
      </c>
      <c r="F135" s="13">
        <v>1163.3399999999999</v>
      </c>
      <c r="G135" s="13">
        <v>1163.3399999999999</v>
      </c>
    </row>
    <row r="136" spans="1:7" x14ac:dyDescent="0.2">
      <c r="A136" s="9" t="s">
        <v>129</v>
      </c>
      <c r="B136" s="7">
        <v>2.09</v>
      </c>
      <c r="C136" s="7">
        <v>2.13</v>
      </c>
      <c r="D136" s="7">
        <v>2.0449999999999999</v>
      </c>
      <c r="E136" s="7">
        <v>2.12</v>
      </c>
      <c r="F136" s="13">
        <v>1191.44</v>
      </c>
      <c r="G136" s="13">
        <v>1191.44</v>
      </c>
    </row>
    <row r="137" spans="1:7" x14ac:dyDescent="0.2">
      <c r="A137" s="9" t="s">
        <v>128</v>
      </c>
      <c r="B137" s="7">
        <v>2.15</v>
      </c>
      <c r="C137" s="7">
        <v>2.1749999999999998</v>
      </c>
      <c r="D137" s="7">
        <v>2.13</v>
      </c>
      <c r="E137" s="7">
        <v>2.15</v>
      </c>
      <c r="F137" s="13">
        <v>1208.3</v>
      </c>
      <c r="G137" s="13">
        <v>1208.3</v>
      </c>
    </row>
    <row r="138" spans="1:7" x14ac:dyDescent="0.2">
      <c r="A138" s="9" t="s">
        <v>127</v>
      </c>
      <c r="B138" s="7">
        <v>2.19</v>
      </c>
      <c r="C138" s="7">
        <v>2.2400000000000002</v>
      </c>
      <c r="D138" s="7">
        <v>2.15</v>
      </c>
      <c r="E138" s="7">
        <v>2.16</v>
      </c>
      <c r="F138" s="13">
        <v>1213.92</v>
      </c>
      <c r="G138" s="13">
        <v>1213.92</v>
      </c>
    </row>
    <row r="139" spans="1:7" x14ac:dyDescent="0.2">
      <c r="A139" s="9" t="s">
        <v>126</v>
      </c>
      <c r="B139" s="7">
        <v>2.14</v>
      </c>
      <c r="C139" s="7">
        <v>2.17</v>
      </c>
      <c r="D139" s="7">
        <v>2.09</v>
      </c>
      <c r="E139" s="7">
        <v>2.15</v>
      </c>
      <c r="F139" s="13">
        <v>1208.3</v>
      </c>
      <c r="G139" s="13">
        <v>1208.3</v>
      </c>
    </row>
    <row r="140" spans="1:7" x14ac:dyDescent="0.2">
      <c r="A140" s="9" t="s">
        <v>125</v>
      </c>
      <c r="B140" s="7">
        <v>2.09</v>
      </c>
      <c r="C140" s="7">
        <v>2.16</v>
      </c>
      <c r="D140" s="7">
        <v>2.0499999999999998</v>
      </c>
      <c r="E140" s="7">
        <v>2.15</v>
      </c>
      <c r="F140" s="13">
        <v>1208.3</v>
      </c>
      <c r="G140" s="13">
        <v>1208.3</v>
      </c>
    </row>
    <row r="141" spans="1:7" x14ac:dyDescent="0.2">
      <c r="A141" s="9" t="s">
        <v>124</v>
      </c>
      <c r="B141" s="7">
        <v>2.15</v>
      </c>
      <c r="C141" s="7">
        <v>2.19</v>
      </c>
      <c r="D141" s="7">
        <v>2.15</v>
      </c>
      <c r="E141" s="7">
        <v>2.17</v>
      </c>
      <c r="F141" s="13">
        <v>1219.54</v>
      </c>
      <c r="G141" s="13">
        <v>1219.54</v>
      </c>
    </row>
    <row r="142" spans="1:7" x14ac:dyDescent="0.2">
      <c r="A142" s="9" t="s">
        <v>123</v>
      </c>
      <c r="B142" s="7">
        <v>2.19</v>
      </c>
      <c r="C142" s="7">
        <v>2.2050000000000001</v>
      </c>
      <c r="D142" s="7">
        <v>2.12</v>
      </c>
      <c r="E142" s="7">
        <v>2.12</v>
      </c>
      <c r="F142" s="13">
        <v>1191.44</v>
      </c>
      <c r="G142" s="13">
        <v>1191.44</v>
      </c>
    </row>
    <row r="143" spans="1:7" x14ac:dyDescent="0.2">
      <c r="A143" s="9" t="s">
        <v>122</v>
      </c>
      <c r="B143" s="7">
        <v>2.13</v>
      </c>
      <c r="C143" s="7">
        <v>2.1949999999999998</v>
      </c>
      <c r="D143" s="7">
        <v>2.1</v>
      </c>
      <c r="E143" s="7">
        <v>2.17</v>
      </c>
      <c r="F143" s="13">
        <v>1219.54</v>
      </c>
      <c r="G143" s="13">
        <v>1219.54</v>
      </c>
    </row>
    <row r="144" spans="1:7" x14ac:dyDescent="0.2">
      <c r="A144" s="9" t="s">
        <v>121</v>
      </c>
      <c r="B144" s="7">
        <v>2.11</v>
      </c>
      <c r="C144" s="7">
        <v>2.17</v>
      </c>
      <c r="D144" s="7">
        <v>2.09</v>
      </c>
      <c r="E144" s="7">
        <v>2.12</v>
      </c>
      <c r="F144" s="13">
        <v>1191.44</v>
      </c>
      <c r="G144" s="13">
        <v>1191.44</v>
      </c>
    </row>
    <row r="145" spans="1:7" x14ac:dyDescent="0.2">
      <c r="A145" s="9" t="s">
        <v>120</v>
      </c>
      <c r="B145" s="7">
        <v>2.12</v>
      </c>
      <c r="C145" s="7">
        <v>2.14</v>
      </c>
      <c r="D145" s="7">
        <v>2.0299999999999998</v>
      </c>
      <c r="E145" s="7">
        <v>2.0699999999999998</v>
      </c>
      <c r="F145" s="13">
        <v>1163.3399999999999</v>
      </c>
      <c r="G145" s="13">
        <v>1163.3399999999999</v>
      </c>
    </row>
    <row r="146" spans="1:7" x14ac:dyDescent="0.2">
      <c r="A146" s="9" t="s">
        <v>119</v>
      </c>
      <c r="B146" s="7">
        <v>2.11</v>
      </c>
      <c r="C146" s="7">
        <v>2.11</v>
      </c>
      <c r="D146" s="7">
        <v>2.0499999999999998</v>
      </c>
      <c r="E146" s="7">
        <v>2.06</v>
      </c>
      <c r="F146" s="13">
        <v>1157.72</v>
      </c>
      <c r="G146" s="13">
        <v>1157.72</v>
      </c>
    </row>
    <row r="147" spans="1:7" x14ac:dyDescent="0.2">
      <c r="A147" s="9" t="s">
        <v>118</v>
      </c>
      <c r="B147" s="7">
        <v>2.0299999999999998</v>
      </c>
      <c r="C147" s="7">
        <v>2.0499999999999998</v>
      </c>
      <c r="D147" s="7">
        <v>2</v>
      </c>
      <c r="E147" s="7">
        <v>2.02</v>
      </c>
      <c r="F147" s="13">
        <v>1135.24</v>
      </c>
      <c r="G147" s="13">
        <v>1135.24</v>
      </c>
    </row>
    <row r="148" spans="1:7" x14ac:dyDescent="0.2">
      <c r="A148" s="9" t="s">
        <v>117</v>
      </c>
      <c r="B148" s="7">
        <v>2.06</v>
      </c>
      <c r="C148" s="7">
        <v>2.11</v>
      </c>
      <c r="D148" s="7">
        <v>2.0299999999999998</v>
      </c>
      <c r="E148" s="7">
        <v>2.09</v>
      </c>
      <c r="F148" s="13">
        <v>1174.58</v>
      </c>
      <c r="G148" s="13">
        <v>1174.58</v>
      </c>
    </row>
    <row r="149" spans="1:7" x14ac:dyDescent="0.2">
      <c r="A149" s="9" t="s">
        <v>116</v>
      </c>
      <c r="B149" s="7">
        <v>2.12</v>
      </c>
      <c r="C149" s="7">
        <v>2.15</v>
      </c>
      <c r="D149" s="7">
        <v>2.08</v>
      </c>
      <c r="E149" s="7">
        <v>2.11</v>
      </c>
      <c r="F149" s="13">
        <v>1185.82</v>
      </c>
      <c r="G149" s="13">
        <v>1185.82</v>
      </c>
    </row>
    <row r="150" spans="1:7" x14ac:dyDescent="0.2">
      <c r="A150" s="9" t="s">
        <v>115</v>
      </c>
      <c r="B150" s="7">
        <v>2.0499999999999998</v>
      </c>
      <c r="C150" s="7">
        <v>2.15</v>
      </c>
      <c r="D150" s="7">
        <v>2.0299999999999998</v>
      </c>
      <c r="E150" s="7">
        <v>2.12</v>
      </c>
      <c r="F150" s="13">
        <v>1191.44</v>
      </c>
      <c r="G150" s="13">
        <v>1191.44</v>
      </c>
    </row>
    <row r="151" spans="1:7" x14ac:dyDescent="0.2">
      <c r="A151" s="9" t="s">
        <v>114</v>
      </c>
      <c r="B151" s="7">
        <v>2.0699999999999998</v>
      </c>
      <c r="C151" s="7">
        <v>2.11</v>
      </c>
      <c r="D151" s="7">
        <v>2.04</v>
      </c>
      <c r="E151" s="7">
        <v>2.08</v>
      </c>
      <c r="F151" s="13">
        <v>1168.96</v>
      </c>
      <c r="G151" s="13">
        <v>1168.96</v>
      </c>
    </row>
    <row r="152" spans="1:7" x14ac:dyDescent="0.2">
      <c r="A152" s="9" t="s">
        <v>113</v>
      </c>
      <c r="B152" s="7">
        <v>2.0299999999999998</v>
      </c>
      <c r="C152" s="7">
        <v>2.0499999999999998</v>
      </c>
      <c r="D152" s="7">
        <v>2</v>
      </c>
      <c r="E152" s="7">
        <v>2.02</v>
      </c>
      <c r="F152" s="13">
        <v>1135.24</v>
      </c>
      <c r="G152" s="13">
        <v>1135.24</v>
      </c>
    </row>
    <row r="153" spans="1:7" x14ac:dyDescent="0.2">
      <c r="A153" s="9" t="s">
        <v>112</v>
      </c>
      <c r="B153" s="7">
        <v>2.02</v>
      </c>
      <c r="C153" s="7">
        <v>2.04</v>
      </c>
      <c r="D153" s="7">
        <v>1.9750000000000001</v>
      </c>
      <c r="E153" s="7">
        <v>2.0299999999999998</v>
      </c>
      <c r="F153" s="13">
        <v>1140.8599999999999</v>
      </c>
      <c r="G153" s="13">
        <v>1140.8599999999999</v>
      </c>
    </row>
    <row r="154" spans="1:7" x14ac:dyDescent="0.2">
      <c r="A154" s="9" t="s">
        <v>111</v>
      </c>
      <c r="B154" s="7">
        <v>2.0099999999999998</v>
      </c>
      <c r="C154" s="7">
        <v>2.0099999999999998</v>
      </c>
      <c r="D154" s="7">
        <v>1.9650000000000001</v>
      </c>
      <c r="E154" s="7">
        <v>1.9850000000000001</v>
      </c>
      <c r="F154" s="13">
        <v>1115.5700000000002</v>
      </c>
      <c r="G154" s="13">
        <v>1115.5700000000002</v>
      </c>
    </row>
    <row r="155" spans="1:7" x14ac:dyDescent="0.2">
      <c r="A155" s="9" t="s">
        <v>110</v>
      </c>
      <c r="B155" s="7">
        <v>2.06</v>
      </c>
      <c r="C155" s="7">
        <v>2.085</v>
      </c>
      <c r="D155" s="7">
        <v>2.04</v>
      </c>
      <c r="E155" s="7">
        <v>2.06</v>
      </c>
      <c r="F155" s="13">
        <v>1157.72</v>
      </c>
      <c r="G155" s="13">
        <v>1157.72</v>
      </c>
    </row>
    <row r="156" spans="1:7" x14ac:dyDescent="0.2">
      <c r="A156" s="9" t="s">
        <v>109</v>
      </c>
      <c r="B156" s="7">
        <v>2.08</v>
      </c>
      <c r="C156" s="7">
        <v>2.08</v>
      </c>
      <c r="D156" s="7">
        <v>2</v>
      </c>
      <c r="E156" s="7">
        <v>2.04</v>
      </c>
      <c r="F156" s="13">
        <v>1146.48</v>
      </c>
      <c r="G156" s="13">
        <v>1146.48</v>
      </c>
    </row>
    <row r="157" spans="1:7" x14ac:dyDescent="0.2">
      <c r="A157" s="9" t="s">
        <v>108</v>
      </c>
      <c r="B157" s="7">
        <v>2.11</v>
      </c>
      <c r="C157" s="7">
        <v>2.21</v>
      </c>
      <c r="D157" s="7">
        <v>2.09</v>
      </c>
      <c r="E157" s="7">
        <v>2.21</v>
      </c>
      <c r="F157" s="13">
        <v>1242.02</v>
      </c>
      <c r="G157" s="13">
        <v>1242.02</v>
      </c>
    </row>
    <row r="158" spans="1:7" x14ac:dyDescent="0.2">
      <c r="A158" s="9" t="s">
        <v>107</v>
      </c>
      <c r="B158" s="7">
        <v>2.23</v>
      </c>
      <c r="C158" s="7">
        <v>2.23</v>
      </c>
      <c r="D158" s="7">
        <v>2.1800000000000002</v>
      </c>
      <c r="E158" s="7">
        <v>2.2000000000000002</v>
      </c>
      <c r="F158" s="13">
        <v>1236.4000000000001</v>
      </c>
      <c r="G158" s="13">
        <v>1236.4000000000001</v>
      </c>
    </row>
    <row r="159" spans="1:7" x14ac:dyDescent="0.2">
      <c r="A159" s="9" t="s">
        <v>106</v>
      </c>
      <c r="B159" s="7">
        <v>2.2000000000000002</v>
      </c>
      <c r="C159" s="7">
        <v>2.2200000000000002</v>
      </c>
      <c r="D159" s="7">
        <v>2.1800000000000002</v>
      </c>
      <c r="E159" s="7">
        <v>2.1800000000000002</v>
      </c>
      <c r="F159" s="13">
        <v>1225.1600000000001</v>
      </c>
      <c r="G159" s="13">
        <v>1225.1600000000001</v>
      </c>
    </row>
    <row r="160" spans="1:7" x14ac:dyDescent="0.2">
      <c r="A160" s="9" t="s">
        <v>105</v>
      </c>
      <c r="B160" s="7">
        <v>2.23</v>
      </c>
      <c r="C160" s="7">
        <v>2.25</v>
      </c>
      <c r="D160" s="7">
        <v>2.16</v>
      </c>
      <c r="E160" s="7">
        <v>2.2000000000000002</v>
      </c>
      <c r="F160" s="13">
        <v>1236.4000000000001</v>
      </c>
      <c r="G160" s="13">
        <v>1236.4000000000001</v>
      </c>
    </row>
    <row r="161" spans="1:7" x14ac:dyDescent="0.2">
      <c r="A161" s="9" t="s">
        <v>104</v>
      </c>
      <c r="B161" s="7">
        <v>2.2400000000000002</v>
      </c>
      <c r="C161" s="7">
        <v>2.27</v>
      </c>
      <c r="D161" s="7">
        <v>2.17</v>
      </c>
      <c r="E161" s="7">
        <v>2.17</v>
      </c>
      <c r="F161" s="13">
        <v>1219.54</v>
      </c>
      <c r="G161" s="13">
        <v>1219.54</v>
      </c>
    </row>
    <row r="162" spans="1:7" x14ac:dyDescent="0.2">
      <c r="A162" s="9" t="s">
        <v>103</v>
      </c>
      <c r="B162" s="7">
        <v>2.21</v>
      </c>
      <c r="C162" s="7">
        <v>2.23</v>
      </c>
      <c r="D162" s="7">
        <v>2.1549999999999998</v>
      </c>
      <c r="E162" s="7">
        <v>2.1800000000000002</v>
      </c>
      <c r="F162" s="13">
        <v>1225.1600000000001</v>
      </c>
      <c r="G162" s="13">
        <v>1225.1600000000001</v>
      </c>
    </row>
    <row r="163" spans="1:7" x14ac:dyDescent="0.2">
      <c r="A163" s="9" t="s">
        <v>102</v>
      </c>
      <c r="B163" s="7">
        <v>2.19</v>
      </c>
      <c r="C163" s="7">
        <v>2.2349999999999999</v>
      </c>
      <c r="D163" s="7">
        <v>2.16</v>
      </c>
      <c r="E163" s="7">
        <v>2.21</v>
      </c>
      <c r="F163" s="13">
        <v>1242.02</v>
      </c>
      <c r="G163" s="13">
        <v>1242.02</v>
      </c>
    </row>
    <row r="164" spans="1:7" x14ac:dyDescent="0.2">
      <c r="A164" s="9" t="s">
        <v>101</v>
      </c>
      <c r="B164" s="7">
        <v>2.23</v>
      </c>
      <c r="C164" s="7">
        <v>2.2549999999999999</v>
      </c>
      <c r="D164" s="7">
        <v>2.19</v>
      </c>
      <c r="E164" s="7">
        <v>2.2200000000000002</v>
      </c>
      <c r="F164" s="13">
        <v>1247.6400000000001</v>
      </c>
      <c r="G164" s="13">
        <v>1247.6400000000001</v>
      </c>
    </row>
    <row r="165" spans="1:7" x14ac:dyDescent="0.2">
      <c r="A165" s="9" t="s">
        <v>100</v>
      </c>
      <c r="B165" s="7">
        <v>2.21</v>
      </c>
      <c r="C165" s="7">
        <v>2.21</v>
      </c>
      <c r="D165" s="7">
        <v>2.16</v>
      </c>
      <c r="E165" s="7">
        <v>2.2000000000000002</v>
      </c>
      <c r="F165" s="13">
        <v>1236.4000000000001</v>
      </c>
      <c r="G165" s="13">
        <v>1236.4000000000001</v>
      </c>
    </row>
    <row r="166" spans="1:7" x14ac:dyDescent="0.2">
      <c r="A166" s="9" t="s">
        <v>99</v>
      </c>
      <c r="B166" s="7">
        <v>2.2400000000000002</v>
      </c>
      <c r="C166" s="7">
        <v>2.25</v>
      </c>
      <c r="D166" s="7">
        <v>2.19</v>
      </c>
      <c r="E166" s="7">
        <v>2.2000000000000002</v>
      </c>
      <c r="F166" s="13">
        <v>1236.4000000000001</v>
      </c>
      <c r="G166" s="13">
        <v>1236.4000000000001</v>
      </c>
    </row>
    <row r="167" spans="1:7" x14ac:dyDescent="0.2">
      <c r="A167" s="9" t="s">
        <v>98</v>
      </c>
      <c r="B167" s="7">
        <v>2.19</v>
      </c>
      <c r="C167" s="7">
        <v>2.2200000000000002</v>
      </c>
      <c r="D167" s="7">
        <v>2.1800000000000002</v>
      </c>
      <c r="E167" s="7">
        <v>2.19</v>
      </c>
      <c r="F167" s="13">
        <v>1230.78</v>
      </c>
      <c r="G167" s="13">
        <v>1230.78</v>
      </c>
    </row>
    <row r="168" spans="1:7" x14ac:dyDescent="0.2">
      <c r="A168" s="9" t="s">
        <v>97</v>
      </c>
      <c r="B168" s="7">
        <v>2.2000000000000002</v>
      </c>
      <c r="C168" s="7">
        <v>2.25</v>
      </c>
      <c r="D168" s="7">
        <v>2.1850000000000001</v>
      </c>
      <c r="E168" s="7">
        <v>2.19</v>
      </c>
      <c r="F168" s="13">
        <v>1230.78</v>
      </c>
      <c r="G168" s="13">
        <v>1230.78</v>
      </c>
    </row>
    <row r="169" spans="1:7" x14ac:dyDescent="0.2">
      <c r="A169" s="9" t="s">
        <v>96</v>
      </c>
      <c r="B169" s="7">
        <v>2.15</v>
      </c>
      <c r="C169" s="7">
        <v>2.1800000000000002</v>
      </c>
      <c r="D169" s="7">
        <v>2.0699999999999998</v>
      </c>
      <c r="E169" s="7">
        <v>2.14</v>
      </c>
      <c r="F169" s="13">
        <v>1202.68</v>
      </c>
      <c r="G169" s="13">
        <v>1202.68</v>
      </c>
    </row>
    <row r="170" spans="1:7" x14ac:dyDescent="0.2">
      <c r="A170" s="9" t="s">
        <v>95</v>
      </c>
      <c r="B170" s="7">
        <v>2.16</v>
      </c>
      <c r="C170" s="7">
        <v>2.27</v>
      </c>
      <c r="D170" s="7">
        <v>2.13</v>
      </c>
      <c r="E170" s="7">
        <v>2.27</v>
      </c>
      <c r="F170" s="13">
        <v>1275.74</v>
      </c>
      <c r="G170" s="13">
        <v>1275.74</v>
      </c>
    </row>
    <row r="171" spans="1:7" x14ac:dyDescent="0.2">
      <c r="A171" s="9" t="s">
        <v>94</v>
      </c>
      <c r="B171" s="7">
        <v>2.21</v>
      </c>
      <c r="C171" s="7">
        <v>2.21</v>
      </c>
      <c r="D171" s="7">
        <v>2.12</v>
      </c>
      <c r="E171" s="7">
        <v>2.2000000000000002</v>
      </c>
      <c r="F171" s="13">
        <v>1236.4000000000001</v>
      </c>
      <c r="G171" s="13">
        <v>1236.4000000000001</v>
      </c>
    </row>
    <row r="172" spans="1:7" x14ac:dyDescent="0.2">
      <c r="A172" s="9" t="s">
        <v>93</v>
      </c>
      <c r="B172" s="7">
        <v>2.2000000000000002</v>
      </c>
      <c r="C172" s="7">
        <v>2.23</v>
      </c>
      <c r="D172" s="7">
        <v>2.17</v>
      </c>
      <c r="E172" s="7">
        <v>2.19</v>
      </c>
      <c r="F172" s="13">
        <v>1230.78</v>
      </c>
      <c r="G172" s="13">
        <v>1230.78</v>
      </c>
    </row>
    <row r="173" spans="1:7" x14ac:dyDescent="0.2">
      <c r="A173" s="9" t="s">
        <v>92</v>
      </c>
      <c r="B173" s="7">
        <v>2.13</v>
      </c>
      <c r="C173" s="7">
        <v>2.16</v>
      </c>
      <c r="D173" s="7">
        <v>2.0449999999999999</v>
      </c>
      <c r="E173" s="7">
        <v>2.0699999999999998</v>
      </c>
      <c r="F173" s="13">
        <v>1163.3399999999999</v>
      </c>
      <c r="G173" s="13">
        <v>1163.3399999999999</v>
      </c>
    </row>
    <row r="174" spans="1:7" x14ac:dyDescent="0.2">
      <c r="A174" s="9" t="s">
        <v>91</v>
      </c>
      <c r="B174" s="7">
        <v>2.09</v>
      </c>
      <c r="C174" s="7">
        <v>2.15</v>
      </c>
      <c r="D174" s="7">
        <v>2.0699999999999998</v>
      </c>
      <c r="E174" s="7">
        <v>2.14</v>
      </c>
      <c r="F174" s="13">
        <v>1202.68</v>
      </c>
      <c r="G174" s="13">
        <v>1202.68</v>
      </c>
    </row>
    <row r="175" spans="1:7" x14ac:dyDescent="0.2">
      <c r="A175" s="9" t="s">
        <v>90</v>
      </c>
      <c r="B175" s="7">
        <v>2.15</v>
      </c>
      <c r="C175" s="7">
        <v>2.19</v>
      </c>
      <c r="D175" s="7">
        <v>2.09</v>
      </c>
      <c r="E175" s="7">
        <v>2.1800000000000002</v>
      </c>
      <c r="F175" s="13">
        <v>1225.1600000000001</v>
      </c>
      <c r="G175" s="13">
        <v>1225.1600000000001</v>
      </c>
    </row>
    <row r="176" spans="1:7" x14ac:dyDescent="0.2">
      <c r="A176" s="9" t="s">
        <v>89</v>
      </c>
      <c r="B176" s="7">
        <v>2.14</v>
      </c>
      <c r="C176" s="7">
        <v>2.14</v>
      </c>
      <c r="D176" s="7">
        <v>2.0699999999999998</v>
      </c>
      <c r="E176" s="7">
        <v>2.0699999999999998</v>
      </c>
      <c r="F176" s="13">
        <v>1163.3399999999999</v>
      </c>
      <c r="G176" s="13">
        <v>1163.3399999999999</v>
      </c>
    </row>
    <row r="177" spans="1:7" x14ac:dyDescent="0.2">
      <c r="A177" s="9" t="s">
        <v>88</v>
      </c>
      <c r="B177" s="7">
        <v>2.09</v>
      </c>
      <c r="C177" s="7">
        <v>2.1150000000000002</v>
      </c>
      <c r="D177" s="7">
        <v>2.09</v>
      </c>
      <c r="E177" s="7">
        <v>2.11</v>
      </c>
      <c r="F177" s="13">
        <v>1185.82</v>
      </c>
      <c r="G177" s="13">
        <v>1185.82</v>
      </c>
    </row>
    <row r="178" spans="1:7" x14ac:dyDescent="0.2">
      <c r="A178" s="9" t="s">
        <v>87</v>
      </c>
      <c r="B178" s="7">
        <v>2.14</v>
      </c>
      <c r="C178" s="7">
        <v>2.1800000000000002</v>
      </c>
      <c r="D178" s="7">
        <v>2.11</v>
      </c>
      <c r="E178" s="7">
        <v>2.11</v>
      </c>
      <c r="F178" s="13">
        <v>1185.82</v>
      </c>
      <c r="G178" s="13">
        <v>1185.82</v>
      </c>
    </row>
    <row r="179" spans="1:7" x14ac:dyDescent="0.2">
      <c r="A179" s="9" t="s">
        <v>86</v>
      </c>
      <c r="B179" s="7">
        <v>2.14</v>
      </c>
      <c r="C179" s="7">
        <v>2.16</v>
      </c>
      <c r="D179" s="7">
        <v>2.12</v>
      </c>
      <c r="E179" s="7">
        <v>2.15</v>
      </c>
      <c r="F179" s="13">
        <v>1208.3</v>
      </c>
      <c r="G179" s="13">
        <v>1208.3</v>
      </c>
    </row>
    <row r="180" spans="1:7" x14ac:dyDescent="0.2">
      <c r="A180" s="9" t="s">
        <v>85</v>
      </c>
      <c r="B180" s="7">
        <v>2.23</v>
      </c>
      <c r="C180" s="7">
        <v>2.2400000000000002</v>
      </c>
      <c r="D180" s="7">
        <v>2.1800000000000002</v>
      </c>
      <c r="E180" s="7">
        <v>2.2000000000000002</v>
      </c>
      <c r="F180" s="13">
        <v>1236.4000000000001</v>
      </c>
      <c r="G180" s="13">
        <v>1236.4000000000001</v>
      </c>
    </row>
    <row r="181" spans="1:7" x14ac:dyDescent="0.2">
      <c r="A181" s="9" t="s">
        <v>84</v>
      </c>
      <c r="B181" s="7">
        <v>2.21</v>
      </c>
      <c r="C181" s="7">
        <v>2.2200000000000002</v>
      </c>
      <c r="D181" s="7">
        <v>2.16</v>
      </c>
      <c r="E181" s="7">
        <v>2.17</v>
      </c>
      <c r="F181" s="13">
        <v>1219.54</v>
      </c>
      <c r="G181" s="13">
        <v>1219.54</v>
      </c>
    </row>
    <row r="182" spans="1:7" x14ac:dyDescent="0.2">
      <c r="A182" s="9" t="s">
        <v>83</v>
      </c>
      <c r="B182" s="7">
        <v>2.19</v>
      </c>
      <c r="C182" s="7">
        <v>2.2050000000000001</v>
      </c>
      <c r="D182" s="7">
        <v>2.09</v>
      </c>
      <c r="E182" s="7">
        <v>2.11</v>
      </c>
      <c r="F182" s="13">
        <v>1185.82</v>
      </c>
      <c r="G182" s="13">
        <v>1185.82</v>
      </c>
    </row>
    <row r="183" spans="1:7" x14ac:dyDescent="0.2">
      <c r="A183" s="9" t="s">
        <v>82</v>
      </c>
      <c r="B183" s="7">
        <v>2.08</v>
      </c>
      <c r="C183" s="7">
        <v>2.12</v>
      </c>
      <c r="D183" s="7">
        <v>2.0499999999999998</v>
      </c>
      <c r="E183" s="7">
        <v>2.1</v>
      </c>
      <c r="F183" s="13">
        <v>1180.2</v>
      </c>
      <c r="G183" s="13">
        <v>1180.2</v>
      </c>
    </row>
    <row r="184" spans="1:7" x14ac:dyDescent="0.2">
      <c r="A184" s="9" t="s">
        <v>81</v>
      </c>
      <c r="B184" s="7">
        <v>2.1</v>
      </c>
      <c r="C184" s="7">
        <v>2.14</v>
      </c>
      <c r="D184" s="7">
        <v>2.06</v>
      </c>
      <c r="E184" s="7">
        <v>2.12</v>
      </c>
      <c r="F184" s="13">
        <v>1191.44</v>
      </c>
      <c r="G184" s="13">
        <v>1191.44</v>
      </c>
    </row>
    <row r="185" spans="1:7" x14ac:dyDescent="0.2">
      <c r="A185" s="9" t="s">
        <v>80</v>
      </c>
      <c r="B185" s="7">
        <v>2.14</v>
      </c>
      <c r="C185" s="7">
        <v>2.19</v>
      </c>
      <c r="D185" s="7">
        <v>2.11</v>
      </c>
      <c r="E185" s="7">
        <v>2.11</v>
      </c>
      <c r="F185" s="13">
        <v>1185.82</v>
      </c>
      <c r="G185" s="13">
        <v>1185.82</v>
      </c>
    </row>
    <row r="186" spans="1:7" x14ac:dyDescent="0.2">
      <c r="A186" s="9" t="s">
        <v>79</v>
      </c>
      <c r="B186" s="7">
        <v>2.11</v>
      </c>
      <c r="C186" s="7">
        <v>2.16</v>
      </c>
      <c r="D186" s="7">
        <v>2.0699999999999998</v>
      </c>
      <c r="E186" s="7">
        <v>2.11</v>
      </c>
      <c r="F186" s="13">
        <v>1185.82</v>
      </c>
      <c r="G186" s="13">
        <v>1185.82</v>
      </c>
    </row>
    <row r="187" spans="1:7" x14ac:dyDescent="0.2">
      <c r="A187" s="9" t="s">
        <v>78</v>
      </c>
      <c r="B187" s="7">
        <v>2.0699999999999998</v>
      </c>
      <c r="C187" s="7">
        <v>2.1</v>
      </c>
      <c r="D187" s="7">
        <v>2.0499999999999998</v>
      </c>
      <c r="E187" s="7">
        <v>2.0699999999999998</v>
      </c>
      <c r="F187" s="13">
        <v>1163.3399999999999</v>
      </c>
      <c r="G187" s="13">
        <v>1163.3399999999999</v>
      </c>
    </row>
    <row r="188" spans="1:7" x14ac:dyDescent="0.2">
      <c r="A188" s="9" t="s">
        <v>77</v>
      </c>
      <c r="B188" s="7">
        <v>2.14</v>
      </c>
      <c r="C188" s="7">
        <v>2.1850000000000001</v>
      </c>
      <c r="D188" s="7">
        <v>2.1</v>
      </c>
      <c r="E188" s="7">
        <v>2.1</v>
      </c>
      <c r="F188" s="13">
        <v>1180.2</v>
      </c>
      <c r="G188" s="13">
        <v>1180.2</v>
      </c>
    </row>
    <row r="189" spans="1:7" x14ac:dyDescent="0.2">
      <c r="A189" s="9" t="s">
        <v>76</v>
      </c>
      <c r="B189" s="7">
        <v>2.13</v>
      </c>
      <c r="C189" s="7">
        <v>2.15</v>
      </c>
      <c r="D189" s="7">
        <v>2.09</v>
      </c>
      <c r="E189" s="7">
        <v>2.15</v>
      </c>
      <c r="F189" s="13">
        <v>1208.3</v>
      </c>
      <c r="G189" s="13">
        <v>1208.3</v>
      </c>
    </row>
    <row r="190" spans="1:7" x14ac:dyDescent="0.2">
      <c r="A190" s="9" t="s">
        <v>75</v>
      </c>
      <c r="B190" s="7">
        <v>2.11</v>
      </c>
      <c r="C190" s="7">
        <v>2.15</v>
      </c>
      <c r="D190" s="7">
        <v>2.09</v>
      </c>
      <c r="E190" s="7">
        <v>2.15</v>
      </c>
      <c r="F190" s="13">
        <v>1208.3</v>
      </c>
      <c r="G190" s="13">
        <v>1208.3</v>
      </c>
    </row>
    <row r="191" spans="1:7" x14ac:dyDescent="0.2">
      <c r="A191" s="9" t="s">
        <v>74</v>
      </c>
      <c r="B191" s="7">
        <v>2.14</v>
      </c>
      <c r="C191" s="7">
        <v>2.14</v>
      </c>
      <c r="D191" s="7">
        <v>2.0299999999999998</v>
      </c>
      <c r="E191" s="7">
        <v>2.06</v>
      </c>
      <c r="F191" s="13">
        <v>1157.72</v>
      </c>
      <c r="G191" s="13">
        <v>1157.72</v>
      </c>
    </row>
    <row r="192" spans="1:7" x14ac:dyDescent="0.2">
      <c r="A192" s="9" t="s">
        <v>73</v>
      </c>
      <c r="B192" s="7">
        <v>2.04</v>
      </c>
      <c r="C192" s="7">
        <v>2.0499999999999998</v>
      </c>
      <c r="D192" s="7">
        <v>2.0099999999999998</v>
      </c>
      <c r="E192" s="7">
        <v>2.04</v>
      </c>
      <c r="F192" s="13">
        <v>1146.48</v>
      </c>
      <c r="G192" s="13">
        <v>1146.48</v>
      </c>
    </row>
    <row r="193" spans="1:7" x14ac:dyDescent="0.2">
      <c r="A193" s="9" t="s">
        <v>72</v>
      </c>
      <c r="B193" s="7">
        <v>2.08</v>
      </c>
      <c r="C193" s="7">
        <v>2.125</v>
      </c>
      <c r="D193" s="7">
        <v>2.0699999999999998</v>
      </c>
      <c r="E193" s="7">
        <v>2.09</v>
      </c>
      <c r="F193" s="13">
        <v>1174.58</v>
      </c>
      <c r="G193" s="13">
        <v>1174.58</v>
      </c>
    </row>
    <row r="194" spans="1:7" x14ac:dyDescent="0.2">
      <c r="A194" s="9" t="s">
        <v>71</v>
      </c>
      <c r="B194" s="7">
        <v>2.08</v>
      </c>
      <c r="C194" s="7">
        <v>2.08</v>
      </c>
      <c r="D194" s="7">
        <v>2</v>
      </c>
      <c r="E194" s="7">
        <v>2.02</v>
      </c>
      <c r="F194" s="13">
        <v>1135.24</v>
      </c>
      <c r="G194" s="13">
        <v>1135.24</v>
      </c>
    </row>
    <row r="195" spans="1:7" x14ac:dyDescent="0.2">
      <c r="A195" s="9" t="s">
        <v>70</v>
      </c>
      <c r="B195" s="7">
        <v>2.02</v>
      </c>
      <c r="C195" s="7">
        <v>2.0449999999999999</v>
      </c>
      <c r="D195" s="7">
        <v>1.98</v>
      </c>
      <c r="E195" s="7">
        <v>2.04</v>
      </c>
      <c r="F195" s="13">
        <v>1146.48</v>
      </c>
      <c r="G195" s="13">
        <v>1146.48</v>
      </c>
    </row>
    <row r="196" spans="1:7" x14ac:dyDescent="0.2">
      <c r="A196" s="9" t="s">
        <v>69</v>
      </c>
      <c r="B196" s="7">
        <v>2.04</v>
      </c>
      <c r="C196" s="7">
        <v>2.04</v>
      </c>
      <c r="D196" s="7">
        <v>1.98</v>
      </c>
      <c r="E196" s="7">
        <v>2.02</v>
      </c>
      <c r="F196" s="13">
        <v>1135.24</v>
      </c>
      <c r="G196" s="13">
        <v>1135.24</v>
      </c>
    </row>
    <row r="197" spans="1:7" x14ac:dyDescent="0.2">
      <c r="A197" s="9" t="s">
        <v>68</v>
      </c>
      <c r="B197" s="7">
        <v>1.9950000000000001</v>
      </c>
      <c r="C197" s="7">
        <v>2.0299999999999998</v>
      </c>
      <c r="D197" s="7">
        <v>1.99</v>
      </c>
      <c r="E197" s="7">
        <v>2.0099999999999998</v>
      </c>
      <c r="F197" s="13">
        <v>1129.6199999999999</v>
      </c>
      <c r="G197" s="13">
        <v>1129.6199999999999</v>
      </c>
    </row>
    <row r="198" spans="1:7" x14ac:dyDescent="0.2">
      <c r="A198" s="9" t="s">
        <v>67</v>
      </c>
      <c r="B198" s="7">
        <v>1.98</v>
      </c>
      <c r="C198" s="7">
        <v>2.0299999999999998</v>
      </c>
      <c r="D198" s="7">
        <v>1.98</v>
      </c>
      <c r="E198" s="7">
        <v>1.9950000000000001</v>
      </c>
      <c r="F198" s="13">
        <v>1121.19</v>
      </c>
      <c r="G198" s="13">
        <v>1121.19</v>
      </c>
    </row>
    <row r="199" spans="1:7" x14ac:dyDescent="0.2">
      <c r="A199" s="9" t="s">
        <v>66</v>
      </c>
      <c r="B199" s="7">
        <v>2.02</v>
      </c>
      <c r="C199" s="7">
        <v>2.0350000000000001</v>
      </c>
      <c r="D199" s="7">
        <v>2.0049999999999999</v>
      </c>
      <c r="E199" s="7">
        <v>2.0299999999999998</v>
      </c>
      <c r="F199" s="13">
        <v>1140.8599999999999</v>
      </c>
      <c r="G199" s="13">
        <v>1140.8599999999999</v>
      </c>
    </row>
    <row r="200" spans="1:7" x14ac:dyDescent="0.2">
      <c r="A200" s="9" t="s">
        <v>65</v>
      </c>
      <c r="B200" s="7">
        <v>2.0499999999999998</v>
      </c>
      <c r="C200" s="7">
        <v>2.1</v>
      </c>
      <c r="D200" s="7">
        <v>2.0499999999999998</v>
      </c>
      <c r="E200" s="7">
        <v>2.0699999999999998</v>
      </c>
      <c r="F200" s="13">
        <v>1163.3399999999999</v>
      </c>
      <c r="G200" s="13">
        <v>1163.3399999999999</v>
      </c>
    </row>
    <row r="201" spans="1:7" x14ac:dyDescent="0.2">
      <c r="A201" s="9" t="s">
        <v>64</v>
      </c>
      <c r="B201" s="7">
        <v>2.09</v>
      </c>
      <c r="C201" s="7">
        <v>2.09</v>
      </c>
      <c r="D201" s="7">
        <v>2.04</v>
      </c>
      <c r="E201" s="7">
        <v>2.0499999999999998</v>
      </c>
      <c r="F201" s="13">
        <v>1152.0999999999999</v>
      </c>
      <c r="G201" s="13">
        <v>1152.0999999999999</v>
      </c>
    </row>
    <row r="202" spans="1:7" x14ac:dyDescent="0.2">
      <c r="A202" s="9" t="s">
        <v>63</v>
      </c>
      <c r="B202" s="7">
        <v>2.08</v>
      </c>
      <c r="C202" s="7">
        <v>2.13</v>
      </c>
      <c r="D202" s="7">
        <v>2.0699999999999998</v>
      </c>
      <c r="E202" s="7">
        <v>2.08</v>
      </c>
      <c r="F202" s="13">
        <v>1168.96</v>
      </c>
      <c r="G202" s="13">
        <v>1168.96</v>
      </c>
    </row>
    <row r="203" spans="1:7" x14ac:dyDescent="0.2">
      <c r="A203" s="9" t="s">
        <v>62</v>
      </c>
      <c r="B203" s="7">
        <v>2.12</v>
      </c>
      <c r="C203" s="7">
        <v>2.19</v>
      </c>
      <c r="D203" s="7">
        <v>2.11</v>
      </c>
      <c r="E203" s="7">
        <v>2.19</v>
      </c>
      <c r="F203" s="13">
        <v>1230.78</v>
      </c>
      <c r="G203" s="13">
        <v>1230.78</v>
      </c>
    </row>
    <row r="204" spans="1:7" x14ac:dyDescent="0.2">
      <c r="A204" s="9" t="s">
        <v>61</v>
      </c>
      <c r="B204" s="7">
        <v>2.2400000000000002</v>
      </c>
      <c r="C204" s="7">
        <v>2.3199999999999998</v>
      </c>
      <c r="D204" s="7">
        <v>2.2000000000000002</v>
      </c>
      <c r="E204" s="7">
        <v>2.3199999999999998</v>
      </c>
      <c r="F204" s="13">
        <v>1303.8399999999999</v>
      </c>
      <c r="G204" s="13">
        <v>1303.8399999999999</v>
      </c>
    </row>
    <row r="205" spans="1:7" x14ac:dyDescent="0.2">
      <c r="A205" s="9" t="s">
        <v>60</v>
      </c>
      <c r="B205" s="7">
        <v>2.2999999999999998</v>
      </c>
      <c r="C205" s="7">
        <v>2.3199999999999998</v>
      </c>
      <c r="D205" s="7">
        <v>2.2549999999999999</v>
      </c>
      <c r="E205" s="7">
        <v>2.2999999999999998</v>
      </c>
      <c r="F205" s="13">
        <v>1292.5999999999999</v>
      </c>
      <c r="G205" s="13">
        <v>1292.5999999999999</v>
      </c>
    </row>
    <row r="206" spans="1:7" x14ac:dyDescent="0.2">
      <c r="A206" s="9" t="s">
        <v>59</v>
      </c>
      <c r="B206" s="7">
        <v>2.4</v>
      </c>
      <c r="C206" s="7">
        <v>2.4750000000000001</v>
      </c>
      <c r="D206" s="7">
        <v>2.375</v>
      </c>
      <c r="E206" s="7">
        <v>2.4700000000000002</v>
      </c>
      <c r="F206" s="13">
        <v>1388.14</v>
      </c>
      <c r="G206" s="13">
        <v>1388.14</v>
      </c>
    </row>
    <row r="207" spans="1:7" x14ac:dyDescent="0.2">
      <c r="A207" s="9" t="s">
        <v>58</v>
      </c>
      <c r="B207" s="7">
        <v>2.4300000000000002</v>
      </c>
      <c r="C207" s="7">
        <v>2.4900000000000002</v>
      </c>
      <c r="D207" s="7">
        <v>2.3849999999999998</v>
      </c>
      <c r="E207" s="7">
        <v>2.4900000000000002</v>
      </c>
      <c r="F207" s="13">
        <v>1399.38</v>
      </c>
      <c r="G207" s="13">
        <v>1399.38</v>
      </c>
    </row>
    <row r="208" spans="1:7" x14ac:dyDescent="0.2">
      <c r="A208" s="9" t="s">
        <v>57</v>
      </c>
      <c r="B208" s="7">
        <v>2.4700000000000002</v>
      </c>
      <c r="C208" s="7">
        <v>2.5750000000000002</v>
      </c>
      <c r="D208" s="7">
        <v>2.46</v>
      </c>
      <c r="E208" s="7">
        <v>2.56</v>
      </c>
      <c r="F208" s="13">
        <v>1438.72</v>
      </c>
      <c r="G208" s="13">
        <v>1438.72</v>
      </c>
    </row>
    <row r="209" spans="1:7" x14ac:dyDescent="0.2">
      <c r="A209" s="9" t="s">
        <v>56</v>
      </c>
      <c r="B209" s="7">
        <v>2.4900000000000002</v>
      </c>
      <c r="C209" s="7">
        <v>2.52</v>
      </c>
      <c r="D209" s="7">
        <v>2.4300000000000002</v>
      </c>
      <c r="E209" s="7">
        <v>2.4900000000000002</v>
      </c>
      <c r="F209" s="13">
        <v>1399.38</v>
      </c>
      <c r="G209" s="13">
        <v>1399.38</v>
      </c>
    </row>
    <row r="210" spans="1:7" x14ac:dyDescent="0.2">
      <c r="A210" s="9" t="s">
        <v>55</v>
      </c>
      <c r="B210" s="7">
        <v>2.4700000000000002</v>
      </c>
      <c r="C210" s="7">
        <v>2.5299999999999998</v>
      </c>
      <c r="D210" s="7">
        <v>2.4500000000000002</v>
      </c>
      <c r="E210" s="7">
        <v>2.5299999999999998</v>
      </c>
      <c r="F210" s="13">
        <v>1421.86</v>
      </c>
      <c r="G210" s="13">
        <v>1421.86</v>
      </c>
    </row>
    <row r="211" spans="1:7" x14ac:dyDescent="0.2">
      <c r="A211" s="9" t="s">
        <v>54</v>
      </c>
      <c r="B211" s="7">
        <v>2.5</v>
      </c>
      <c r="C211" s="7">
        <v>2.5049999999999999</v>
      </c>
      <c r="D211" s="7">
        <v>2.42</v>
      </c>
      <c r="E211" s="7">
        <v>2.44</v>
      </c>
      <c r="F211" s="13">
        <v>1371.28</v>
      </c>
      <c r="G211" s="13">
        <v>1371.28</v>
      </c>
    </row>
    <row r="212" spans="1:7" x14ac:dyDescent="0.2">
      <c r="A212" s="9" t="s">
        <v>53</v>
      </c>
      <c r="B212" s="7">
        <v>2.46</v>
      </c>
      <c r="C212" s="7">
        <v>2.4950000000000001</v>
      </c>
      <c r="D212" s="7">
        <v>2.42</v>
      </c>
      <c r="E212" s="7">
        <v>2.4700000000000002</v>
      </c>
      <c r="F212" s="13">
        <v>1388.14</v>
      </c>
      <c r="G212" s="13">
        <v>1388.14</v>
      </c>
    </row>
    <row r="213" spans="1:7" x14ac:dyDescent="0.2">
      <c r="A213" s="9" t="s">
        <v>52</v>
      </c>
      <c r="B213" s="7">
        <v>2.5</v>
      </c>
      <c r="C213" s="7">
        <v>2.5049999999999999</v>
      </c>
      <c r="D213" s="7">
        <v>2.39</v>
      </c>
      <c r="E213" s="7">
        <v>2.44</v>
      </c>
      <c r="F213" s="13">
        <v>1371.28</v>
      </c>
      <c r="G213" s="13">
        <v>1371.28</v>
      </c>
    </row>
    <row r="214" spans="1:7" x14ac:dyDescent="0.2">
      <c r="A214" s="9" t="s">
        <v>51</v>
      </c>
      <c r="B214" s="7">
        <v>2.4</v>
      </c>
      <c r="C214" s="7">
        <v>2.46</v>
      </c>
      <c r="D214" s="7">
        <v>2.38</v>
      </c>
      <c r="E214" s="7">
        <v>2.4500000000000002</v>
      </c>
      <c r="F214" s="13">
        <v>1376.9</v>
      </c>
      <c r="G214" s="13">
        <v>1376.9</v>
      </c>
    </row>
    <row r="215" spans="1:7" x14ac:dyDescent="0.2">
      <c r="A215" s="9" t="s">
        <v>50</v>
      </c>
      <c r="B215" s="7">
        <v>2.4</v>
      </c>
      <c r="C215" s="7">
        <v>2.4</v>
      </c>
      <c r="D215" s="7">
        <v>2.33</v>
      </c>
      <c r="E215" s="7">
        <v>2.34</v>
      </c>
      <c r="F215" s="13">
        <v>1315.08</v>
      </c>
      <c r="G215" s="13">
        <v>1315.08</v>
      </c>
    </row>
    <row r="216" spans="1:7" x14ac:dyDescent="0.2">
      <c r="A216" s="9" t="s">
        <v>49</v>
      </c>
      <c r="B216" s="7">
        <v>2.34</v>
      </c>
      <c r="C216" s="7">
        <v>2.36</v>
      </c>
      <c r="D216" s="7">
        <v>2.2999999999999998</v>
      </c>
      <c r="E216" s="7">
        <v>2.3199999999999998</v>
      </c>
      <c r="F216" s="13">
        <v>1303.8399999999999</v>
      </c>
      <c r="G216" s="13">
        <v>1303.8399999999999</v>
      </c>
    </row>
    <row r="217" spans="1:7" x14ac:dyDescent="0.2">
      <c r="A217" s="9" t="s">
        <v>48</v>
      </c>
      <c r="B217" s="7">
        <v>2.2999999999999998</v>
      </c>
      <c r="C217" s="7">
        <v>2.31</v>
      </c>
      <c r="D217" s="7">
        <v>2.25</v>
      </c>
      <c r="E217" s="7">
        <v>2.2599999999999998</v>
      </c>
      <c r="F217" s="13">
        <v>1270.1199999999999</v>
      </c>
      <c r="G217" s="13">
        <v>1270.1199999999999</v>
      </c>
    </row>
    <row r="218" spans="1:7" x14ac:dyDescent="0.2">
      <c r="A218" s="9" t="s">
        <v>47</v>
      </c>
      <c r="B218" s="7">
        <v>2.2599999999999998</v>
      </c>
      <c r="C218" s="7">
        <v>2.2999999999999998</v>
      </c>
      <c r="D218" s="7">
        <v>2.19</v>
      </c>
      <c r="E218" s="7">
        <v>2.23</v>
      </c>
      <c r="F218" s="13">
        <v>1253.26</v>
      </c>
      <c r="G218" s="13">
        <v>1253.26</v>
      </c>
    </row>
    <row r="219" spans="1:7" x14ac:dyDescent="0.2">
      <c r="A219" s="9" t="s">
        <v>46</v>
      </c>
      <c r="B219" s="7">
        <v>2.17</v>
      </c>
      <c r="C219" s="7">
        <v>2.17</v>
      </c>
      <c r="D219" s="7">
        <v>2.09</v>
      </c>
      <c r="E219" s="7">
        <v>2.14</v>
      </c>
      <c r="F219" s="13">
        <v>1202.68</v>
      </c>
      <c r="G219" s="13">
        <v>1202.68</v>
      </c>
    </row>
    <row r="220" spans="1:7" x14ac:dyDescent="0.2">
      <c r="A220" s="9" t="s">
        <v>45</v>
      </c>
      <c r="B220" s="7">
        <v>2.19</v>
      </c>
      <c r="C220" s="7">
        <v>2.2599999999999998</v>
      </c>
      <c r="D220" s="7">
        <v>2.1749999999999998</v>
      </c>
      <c r="E220" s="7">
        <v>2.2400000000000002</v>
      </c>
      <c r="F220" s="13">
        <v>1258.8800000000001</v>
      </c>
      <c r="G220" s="13">
        <v>1258.8800000000001</v>
      </c>
    </row>
    <row r="221" spans="1:7" x14ac:dyDescent="0.2">
      <c r="A221" s="9" t="s">
        <v>44</v>
      </c>
      <c r="B221" s="7">
        <v>2.23</v>
      </c>
      <c r="C221" s="7">
        <v>2.35</v>
      </c>
      <c r="D221" s="7">
        <v>2.23</v>
      </c>
      <c r="E221" s="7">
        <v>2.33</v>
      </c>
      <c r="F221" s="13">
        <v>1309.46</v>
      </c>
      <c r="G221" s="13">
        <v>1309.46</v>
      </c>
    </row>
    <row r="222" spans="1:7" x14ac:dyDescent="0.2">
      <c r="A222" s="9" t="s">
        <v>43</v>
      </c>
      <c r="B222" s="7">
        <v>2.2400000000000002</v>
      </c>
      <c r="C222" s="7">
        <v>2.31</v>
      </c>
      <c r="D222" s="7">
        <v>2.2000000000000002</v>
      </c>
      <c r="E222" s="7">
        <v>2.2999999999999998</v>
      </c>
      <c r="F222" s="13">
        <v>1292.5999999999999</v>
      </c>
      <c r="G222" s="13">
        <v>1292.5999999999999</v>
      </c>
    </row>
    <row r="223" spans="1:7" x14ac:dyDescent="0.2">
      <c r="A223" s="9" t="s">
        <v>42</v>
      </c>
      <c r="B223" s="7">
        <v>2.2799999999999998</v>
      </c>
      <c r="C223" s="7">
        <v>2.335</v>
      </c>
      <c r="D223" s="7">
        <v>2.2599999999999998</v>
      </c>
      <c r="E223" s="7">
        <v>2.2999999999999998</v>
      </c>
      <c r="F223" s="13">
        <v>1292.5999999999999</v>
      </c>
      <c r="G223" s="13">
        <v>1292.5999999999999</v>
      </c>
    </row>
    <row r="224" spans="1:7" x14ac:dyDescent="0.2">
      <c r="A224" s="9" t="s">
        <v>41</v>
      </c>
      <c r="B224" s="7">
        <v>2.2799999999999998</v>
      </c>
      <c r="C224" s="7">
        <v>2.29</v>
      </c>
      <c r="D224" s="7">
        <v>2.21</v>
      </c>
      <c r="E224" s="7">
        <v>2.23</v>
      </c>
      <c r="F224" s="13">
        <v>1253.26</v>
      </c>
      <c r="G224" s="13">
        <v>1253.26</v>
      </c>
    </row>
    <row r="225" spans="1:7" x14ac:dyDescent="0.2">
      <c r="A225" s="9" t="s">
        <v>40</v>
      </c>
      <c r="B225" s="7">
        <v>2.2999999999999998</v>
      </c>
      <c r="C225" s="7">
        <v>2.31</v>
      </c>
      <c r="D225" s="7">
        <v>2.2400000000000002</v>
      </c>
      <c r="E225" s="7">
        <v>2.27</v>
      </c>
      <c r="F225" s="13">
        <v>1275.74</v>
      </c>
      <c r="G225" s="13">
        <v>1275.74</v>
      </c>
    </row>
    <row r="226" spans="1:7" x14ac:dyDescent="0.2">
      <c r="A226" s="9" t="s">
        <v>39</v>
      </c>
      <c r="B226" s="7">
        <v>2.27</v>
      </c>
      <c r="C226" s="7">
        <v>2.36</v>
      </c>
      <c r="D226" s="7">
        <v>2.2599999999999998</v>
      </c>
      <c r="E226" s="7">
        <v>2.31</v>
      </c>
      <c r="F226" s="13">
        <v>1298.22</v>
      </c>
      <c r="G226" s="13">
        <v>1298.22</v>
      </c>
    </row>
    <row r="227" spans="1:7" x14ac:dyDescent="0.2">
      <c r="A227" s="9" t="s">
        <v>38</v>
      </c>
      <c r="B227" s="7">
        <v>2.34</v>
      </c>
      <c r="C227" s="7">
        <v>2.4500000000000002</v>
      </c>
      <c r="D227" s="7">
        <v>2.34</v>
      </c>
      <c r="E227" s="7">
        <v>2.42</v>
      </c>
      <c r="F227" s="13">
        <v>1360.04</v>
      </c>
      <c r="G227" s="13">
        <v>1360.04</v>
      </c>
    </row>
    <row r="228" spans="1:7" x14ac:dyDescent="0.2">
      <c r="A228" s="9" t="s">
        <v>37</v>
      </c>
      <c r="B228" s="7">
        <v>2.46</v>
      </c>
      <c r="C228" s="7">
        <v>2.5</v>
      </c>
      <c r="D228" s="7">
        <v>2.4550000000000001</v>
      </c>
      <c r="E228" s="7">
        <v>2.4700000000000002</v>
      </c>
      <c r="F228" s="13">
        <v>1388.14</v>
      </c>
      <c r="G228" s="13">
        <v>1388.14</v>
      </c>
    </row>
    <row r="229" spans="1:7" x14ac:dyDescent="0.2">
      <c r="A229" s="9" t="s">
        <v>36</v>
      </c>
      <c r="B229" s="7">
        <v>2.5</v>
      </c>
      <c r="C229" s="7">
        <v>2.5</v>
      </c>
      <c r="D229" s="7">
        <v>2.46</v>
      </c>
      <c r="E229" s="7">
        <v>2.48</v>
      </c>
      <c r="F229" s="13">
        <v>1393.76</v>
      </c>
      <c r="G229" s="13">
        <v>1393.76</v>
      </c>
    </row>
    <row r="230" spans="1:7" x14ac:dyDescent="0.2">
      <c r="A230" s="9" t="s">
        <v>35</v>
      </c>
      <c r="B230" s="7">
        <v>2.5</v>
      </c>
      <c r="C230" s="7">
        <v>2.5299999999999998</v>
      </c>
      <c r="D230" s="7">
        <v>2.4900000000000002</v>
      </c>
      <c r="E230" s="7">
        <v>2.5</v>
      </c>
      <c r="F230" s="13">
        <v>1405</v>
      </c>
      <c r="G230" s="13">
        <v>1405</v>
      </c>
    </row>
    <row r="231" spans="1:7" x14ac:dyDescent="0.2">
      <c r="A231" s="9" t="s">
        <v>34</v>
      </c>
      <c r="B231" s="7">
        <v>2.5299999999999998</v>
      </c>
      <c r="C231" s="7">
        <v>2.54</v>
      </c>
      <c r="D231" s="7">
        <v>2.4500000000000002</v>
      </c>
      <c r="E231" s="7">
        <v>2.48</v>
      </c>
      <c r="F231" s="13">
        <v>1393.76</v>
      </c>
      <c r="G231" s="13">
        <v>1393.76</v>
      </c>
    </row>
    <row r="232" spans="1:7" x14ac:dyDescent="0.2">
      <c r="A232" s="9" t="s">
        <v>33</v>
      </c>
      <c r="B232" s="7">
        <v>2.44</v>
      </c>
      <c r="C232" s="7">
        <v>2.4700000000000002</v>
      </c>
      <c r="D232" s="7">
        <v>2.41</v>
      </c>
      <c r="E232" s="7">
        <v>2.4300000000000002</v>
      </c>
      <c r="F232" s="13">
        <v>1365.66</v>
      </c>
      <c r="G232" s="13">
        <v>1365.66</v>
      </c>
    </row>
    <row r="233" spans="1:7" x14ac:dyDescent="0.2">
      <c r="A233" s="9" t="s">
        <v>32</v>
      </c>
      <c r="B233" s="7">
        <v>2.5099999999999998</v>
      </c>
      <c r="C233" s="7">
        <v>2.5550000000000002</v>
      </c>
      <c r="D233" s="7">
        <v>2.5099999999999998</v>
      </c>
      <c r="E233" s="7">
        <v>2.52</v>
      </c>
      <c r="F233" s="13">
        <v>1416.24</v>
      </c>
      <c r="G233" s="13">
        <v>1416.24</v>
      </c>
    </row>
    <row r="234" spans="1:7" x14ac:dyDescent="0.2">
      <c r="A234" s="9" t="s">
        <v>31</v>
      </c>
      <c r="B234" s="7">
        <v>2.54</v>
      </c>
      <c r="C234" s="7">
        <v>2.58</v>
      </c>
      <c r="D234" s="7">
        <v>2.52</v>
      </c>
      <c r="E234" s="7">
        <v>2.52</v>
      </c>
      <c r="F234" s="13">
        <v>1416.24</v>
      </c>
      <c r="G234" s="13">
        <v>1416.24</v>
      </c>
    </row>
    <row r="235" spans="1:7" x14ac:dyDescent="0.2">
      <c r="A235" s="9" t="s">
        <v>30</v>
      </c>
      <c r="B235" s="7">
        <v>2.52</v>
      </c>
      <c r="C235" s="7">
        <v>2.54</v>
      </c>
      <c r="D235" s="7">
        <v>2.48</v>
      </c>
      <c r="E235" s="7">
        <v>2.5299999999999998</v>
      </c>
      <c r="F235" s="13">
        <v>1421.86</v>
      </c>
      <c r="G235" s="13">
        <v>1421.86</v>
      </c>
    </row>
    <row r="236" spans="1:7" x14ac:dyDescent="0.2">
      <c r="A236" s="9" t="s">
        <v>29</v>
      </c>
      <c r="B236" s="7">
        <v>2.5299999999999998</v>
      </c>
      <c r="C236" s="7">
        <v>2.56</v>
      </c>
      <c r="D236" s="7">
        <v>2.4649999999999999</v>
      </c>
      <c r="E236" s="7">
        <v>2.4900000000000002</v>
      </c>
      <c r="F236" s="13">
        <v>1399.38</v>
      </c>
      <c r="G236" s="13">
        <v>1399.38</v>
      </c>
    </row>
    <row r="237" spans="1:7" x14ac:dyDescent="0.2">
      <c r="A237" s="9" t="s">
        <v>28</v>
      </c>
      <c r="B237" s="7">
        <v>2.4900000000000002</v>
      </c>
      <c r="C237" s="7">
        <v>2.5</v>
      </c>
      <c r="D237" s="7">
        <v>2.4300000000000002</v>
      </c>
      <c r="E237" s="7">
        <v>2.4300000000000002</v>
      </c>
      <c r="F237" s="13">
        <v>1365.66</v>
      </c>
      <c r="G237" s="13">
        <v>1365.66</v>
      </c>
    </row>
    <row r="238" spans="1:7" x14ac:dyDescent="0.2">
      <c r="A238" s="9" t="s">
        <v>27</v>
      </c>
      <c r="B238" s="7">
        <v>2.44</v>
      </c>
      <c r="C238" s="7">
        <v>2.46</v>
      </c>
      <c r="D238" s="7">
        <v>2.4</v>
      </c>
      <c r="E238" s="7">
        <v>2.41</v>
      </c>
      <c r="F238" s="13">
        <v>1354.42</v>
      </c>
      <c r="G238" s="13">
        <v>1354.42</v>
      </c>
    </row>
    <row r="239" spans="1:7" x14ac:dyDescent="0.2">
      <c r="A239" s="9" t="s">
        <v>26</v>
      </c>
      <c r="B239" s="7">
        <v>2.4900000000000002</v>
      </c>
      <c r="C239" s="7">
        <v>2.63</v>
      </c>
      <c r="D239" s="7">
        <v>2.4500000000000002</v>
      </c>
      <c r="E239" s="7">
        <v>2.63</v>
      </c>
      <c r="F239" s="13">
        <v>1478.06</v>
      </c>
      <c r="G239" s="13">
        <v>1478.06</v>
      </c>
    </row>
    <row r="240" spans="1:7" x14ac:dyDescent="0.2">
      <c r="A240" s="9" t="s">
        <v>25</v>
      </c>
      <c r="B240" s="7">
        <v>2.61</v>
      </c>
      <c r="C240" s="7">
        <v>2.68</v>
      </c>
      <c r="D240" s="7">
        <v>2.57</v>
      </c>
      <c r="E240" s="7">
        <v>2.62</v>
      </c>
      <c r="F240" s="13">
        <v>1472.44</v>
      </c>
      <c r="G240" s="13">
        <v>1472.44</v>
      </c>
    </row>
    <row r="241" spans="1:7" x14ac:dyDescent="0.2">
      <c r="A241" s="9" t="s">
        <v>24</v>
      </c>
      <c r="B241" s="7">
        <v>2.59</v>
      </c>
      <c r="C241" s="7">
        <v>2.69</v>
      </c>
      <c r="D241" s="7">
        <v>2.59</v>
      </c>
      <c r="E241" s="7">
        <v>2.67</v>
      </c>
      <c r="F241" s="13">
        <v>1500.54</v>
      </c>
      <c r="G241" s="13">
        <v>1500.54</v>
      </c>
    </row>
    <row r="242" spans="1:7" x14ac:dyDescent="0.2">
      <c r="A242" s="9" t="s">
        <v>23</v>
      </c>
      <c r="B242" s="7">
        <v>2.75</v>
      </c>
      <c r="C242" s="7">
        <v>2.8149999999999999</v>
      </c>
      <c r="D242" s="7">
        <v>2.7</v>
      </c>
      <c r="E242" s="7">
        <v>2.74</v>
      </c>
      <c r="F242" s="13">
        <v>1539.88</v>
      </c>
      <c r="G242" s="13">
        <v>1539.88</v>
      </c>
    </row>
    <row r="243" spans="1:7" x14ac:dyDescent="0.2">
      <c r="A243" s="9" t="s">
        <v>22</v>
      </c>
      <c r="B243" s="7">
        <v>2.76</v>
      </c>
      <c r="C243" s="7">
        <v>2.8</v>
      </c>
      <c r="D243" s="7">
        <v>2.7349999999999999</v>
      </c>
      <c r="E243" s="7">
        <v>2.77</v>
      </c>
      <c r="F243" s="13">
        <v>1556.74</v>
      </c>
      <c r="G243" s="13">
        <v>1556.74</v>
      </c>
    </row>
    <row r="244" spans="1:7" x14ac:dyDescent="0.2">
      <c r="A244" s="9" t="s">
        <v>21</v>
      </c>
      <c r="B244" s="7">
        <v>2.85</v>
      </c>
      <c r="C244" s="7">
        <v>2.85</v>
      </c>
      <c r="D244" s="7">
        <v>2.74</v>
      </c>
      <c r="E244" s="7">
        <v>2.74</v>
      </c>
      <c r="F244" s="13">
        <v>1539.88</v>
      </c>
      <c r="G244" s="13">
        <v>1539.88</v>
      </c>
    </row>
    <row r="245" spans="1:7" x14ac:dyDescent="0.2">
      <c r="A245" s="9" t="s">
        <v>20</v>
      </c>
      <c r="B245" s="7">
        <v>2.73</v>
      </c>
      <c r="C245" s="7">
        <v>2.73</v>
      </c>
      <c r="D245" s="7">
        <v>2.66</v>
      </c>
      <c r="E245" s="7">
        <v>2.71</v>
      </c>
      <c r="F245" s="13">
        <v>1523.02</v>
      </c>
      <c r="G245" s="13">
        <v>1523.02</v>
      </c>
    </row>
    <row r="246" spans="1:7" x14ac:dyDescent="0.2">
      <c r="A246" s="9" t="s">
        <v>19</v>
      </c>
      <c r="B246" s="7">
        <v>2.66</v>
      </c>
      <c r="C246" s="7">
        <v>2.67</v>
      </c>
      <c r="D246" s="7">
        <v>2.59</v>
      </c>
      <c r="E246" s="7">
        <v>2.61</v>
      </c>
      <c r="F246" s="13">
        <v>1466.82</v>
      </c>
      <c r="G246" s="13">
        <v>1466.82</v>
      </c>
    </row>
    <row r="247" spans="1:7" x14ac:dyDescent="0.2">
      <c r="A247" s="9" t="s">
        <v>18</v>
      </c>
      <c r="B247" s="7">
        <v>2.58</v>
      </c>
      <c r="C247" s="7">
        <v>2.64</v>
      </c>
      <c r="D247" s="7">
        <v>2.57</v>
      </c>
      <c r="E247" s="7">
        <v>2.63</v>
      </c>
      <c r="F247" s="13">
        <v>1478.06</v>
      </c>
      <c r="G247" s="13">
        <v>1478.06</v>
      </c>
    </row>
    <row r="248" spans="1:7" x14ac:dyDescent="0.2">
      <c r="A248" s="9" t="s">
        <v>17</v>
      </c>
      <c r="B248" s="7">
        <v>2.64</v>
      </c>
      <c r="C248" s="7">
        <v>2.66</v>
      </c>
      <c r="D248" s="7">
        <v>2.58</v>
      </c>
      <c r="E248" s="7">
        <v>2.59</v>
      </c>
      <c r="F248" s="13">
        <v>1455.58</v>
      </c>
      <c r="G248" s="13">
        <v>1455.58</v>
      </c>
    </row>
    <row r="249" spans="1:7" x14ac:dyDescent="0.2">
      <c r="A249" s="9" t="s">
        <v>16</v>
      </c>
      <c r="B249" s="7">
        <v>2.4900000000000002</v>
      </c>
      <c r="C249" s="7">
        <v>2.58</v>
      </c>
      <c r="D249" s="7">
        <v>2.48</v>
      </c>
      <c r="E249" s="7">
        <v>2.54</v>
      </c>
      <c r="F249" s="13">
        <v>1427.48</v>
      </c>
      <c r="G249" s="13">
        <v>1427.48</v>
      </c>
    </row>
    <row r="250" spans="1:7" x14ac:dyDescent="0.2">
      <c r="A250" s="9" t="s">
        <v>15</v>
      </c>
      <c r="B250" s="7">
        <v>2.5</v>
      </c>
      <c r="C250" s="7">
        <v>2.52</v>
      </c>
      <c r="D250" s="7">
        <v>2.4550000000000001</v>
      </c>
      <c r="E250" s="7">
        <v>2.5</v>
      </c>
      <c r="F250" s="13">
        <v>1405</v>
      </c>
      <c r="G250" s="13">
        <v>1405</v>
      </c>
    </row>
    <row r="251" spans="1:7" x14ac:dyDescent="0.2">
      <c r="A251" s="9" t="s">
        <v>14</v>
      </c>
      <c r="B251" s="7">
        <v>2.5099999999999998</v>
      </c>
      <c r="C251" s="7">
        <v>2.5649999999999999</v>
      </c>
      <c r="D251" s="7">
        <v>2.5</v>
      </c>
      <c r="E251" s="7">
        <v>2.54</v>
      </c>
      <c r="F251" s="13">
        <v>1427.48</v>
      </c>
      <c r="G251" s="13">
        <v>1427.48</v>
      </c>
    </row>
    <row r="252" spans="1:7" x14ac:dyDescent="0.2">
      <c r="A252" s="9" t="s">
        <v>13</v>
      </c>
      <c r="B252" s="7">
        <v>2.54</v>
      </c>
      <c r="C252" s="7">
        <v>2.57</v>
      </c>
      <c r="D252" s="7">
        <v>2.5</v>
      </c>
      <c r="E252" s="7">
        <v>2.5299999999999998</v>
      </c>
      <c r="F252" s="13">
        <v>1421.86</v>
      </c>
      <c r="G252" s="13">
        <v>1421.86</v>
      </c>
    </row>
    <row r="253" spans="1:7" x14ac:dyDescent="0.2">
      <c r="A253" s="9" t="s">
        <v>12</v>
      </c>
      <c r="B253" s="7">
        <v>2.5299999999999998</v>
      </c>
      <c r="C253" s="7">
        <v>2.56</v>
      </c>
      <c r="D253" s="7">
        <v>2.5049999999999999</v>
      </c>
      <c r="E253" s="7">
        <v>2.5499999999999998</v>
      </c>
      <c r="F253" s="13">
        <v>1433.1</v>
      </c>
      <c r="G253" s="13">
        <v>1433.1</v>
      </c>
    </row>
    <row r="254" spans="1:7" x14ac:dyDescent="0.2">
      <c r="A254" s="9" t="s">
        <v>11</v>
      </c>
      <c r="B254" s="7">
        <v>2.52</v>
      </c>
      <c r="C254" s="7">
        <v>2.5499999999999998</v>
      </c>
      <c r="D254" s="7">
        <v>2.4900000000000002</v>
      </c>
      <c r="E254" s="7">
        <v>2.52</v>
      </c>
      <c r="F254" s="13">
        <v>1416.24</v>
      </c>
      <c r="G254" s="13">
        <v>1416.24</v>
      </c>
    </row>
    <row r="255" spans="1:7" x14ac:dyDescent="0.2">
      <c r="A255" s="9" t="s">
        <v>10</v>
      </c>
      <c r="B255" s="7">
        <v>2.4700000000000002</v>
      </c>
      <c r="C255" s="7">
        <v>2.48</v>
      </c>
      <c r="D255" s="7">
        <v>2.4350000000000001</v>
      </c>
      <c r="E255" s="7">
        <v>2.4700000000000002</v>
      </c>
      <c r="F255" s="13">
        <v>1388.14</v>
      </c>
      <c r="G255" s="13">
        <v>1388.14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0A373-3A23-9A4D-81EA-EA471FA03001}">
  <dimension ref="A1:Z255"/>
  <sheetViews>
    <sheetView topLeftCell="D1" zoomScale="113" zoomScaleNormal="110" workbookViewId="0">
      <selection activeCell="I9" sqref="I9"/>
    </sheetView>
  </sheetViews>
  <sheetFormatPr baseColWidth="10" defaultRowHeight="16" x14ac:dyDescent="0.2"/>
  <cols>
    <col min="9" max="9" width="34.1640625" bestFit="1" customWidth="1"/>
    <col min="10" max="10" width="18.6640625" bestFit="1" customWidth="1"/>
    <col min="13" max="13" width="11" bestFit="1" customWidth="1"/>
    <col min="14" max="14" width="13.6640625" bestFit="1" customWidth="1"/>
    <col min="18" max="18" width="14.5" bestFit="1" customWidth="1"/>
    <col min="22" max="22" width="23.6640625" customWidth="1"/>
    <col min="26" max="26" width="13.1640625" customWidth="1"/>
  </cols>
  <sheetData>
    <row r="1" spans="1:26" x14ac:dyDescent="0.2">
      <c r="A1" s="8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271</v>
      </c>
      <c r="G1" s="6" t="s">
        <v>272</v>
      </c>
      <c r="I1" s="6"/>
      <c r="J1" s="12">
        <v>1000</v>
      </c>
      <c r="K1" s="12"/>
      <c r="L1" s="6" t="s">
        <v>266</v>
      </c>
      <c r="M1" s="6" t="s">
        <v>288</v>
      </c>
      <c r="N1" s="6" t="s">
        <v>285</v>
      </c>
      <c r="O1" s="6" t="s">
        <v>273</v>
      </c>
      <c r="P1" s="6" t="s">
        <v>281</v>
      </c>
      <c r="Q1" s="6" t="s">
        <v>274</v>
      </c>
      <c r="R1" s="6" t="s">
        <v>286</v>
      </c>
      <c r="T1" s="6" t="s">
        <v>266</v>
      </c>
      <c r="U1" s="6" t="s">
        <v>288</v>
      </c>
      <c r="V1" s="6" t="s">
        <v>285</v>
      </c>
      <c r="W1" s="6" t="s">
        <v>273</v>
      </c>
      <c r="X1" s="6" t="s">
        <v>281</v>
      </c>
      <c r="Y1" s="6" t="s">
        <v>274</v>
      </c>
      <c r="Z1" s="6" t="s">
        <v>286</v>
      </c>
    </row>
    <row r="2" spans="1:26" x14ac:dyDescent="0.2">
      <c r="A2" s="9" t="s">
        <v>263</v>
      </c>
      <c r="B2" s="7">
        <v>1.7749999999999999</v>
      </c>
      <c r="C2" s="7">
        <v>1.778</v>
      </c>
      <c r="D2" s="7">
        <v>1.7350000000000001</v>
      </c>
      <c r="E2" s="7">
        <v>1.74</v>
      </c>
      <c r="F2" s="13">
        <v>999.23599999999999</v>
      </c>
      <c r="G2" s="13">
        <v>1000</v>
      </c>
      <c r="L2" s="15">
        <v>45351</v>
      </c>
      <c r="M2">
        <v>1.53</v>
      </c>
      <c r="N2" s="16">
        <f>F43</f>
        <v>859.86</v>
      </c>
      <c r="O2" s="17">
        <v>1</v>
      </c>
      <c r="P2">
        <f>653</f>
        <v>653</v>
      </c>
      <c r="Q2" t="s">
        <v>275</v>
      </c>
      <c r="R2">
        <v>0.91</v>
      </c>
      <c r="T2" s="15">
        <v>45351</v>
      </c>
      <c r="U2">
        <v>1.53</v>
      </c>
      <c r="V2" s="16">
        <f>N2</f>
        <v>859.86</v>
      </c>
      <c r="W2" s="17">
        <v>1</v>
      </c>
      <c r="X2">
        <f>653</f>
        <v>653</v>
      </c>
      <c r="Y2" t="s">
        <v>275</v>
      </c>
      <c r="Z2">
        <v>0.91</v>
      </c>
    </row>
    <row r="3" spans="1:26" x14ac:dyDescent="0.2">
      <c r="A3" s="9" t="s">
        <v>262</v>
      </c>
      <c r="B3" s="7">
        <v>1.7050000000000001</v>
      </c>
      <c r="C3" s="7">
        <v>1.72</v>
      </c>
      <c r="D3" s="7">
        <v>1.6850000000000001</v>
      </c>
      <c r="E3" s="7">
        <v>1.69</v>
      </c>
      <c r="F3" s="13">
        <v>949.78</v>
      </c>
      <c r="G3" s="13">
        <v>950.54399999999998</v>
      </c>
      <c r="L3" s="15">
        <v>45358</v>
      </c>
      <c r="M3">
        <v>1.92</v>
      </c>
      <c r="N3" s="16">
        <f>F48</f>
        <v>1077.354</v>
      </c>
      <c r="O3" s="17">
        <v>1.25</v>
      </c>
      <c r="P3">
        <f>P2</f>
        <v>653</v>
      </c>
      <c r="Q3" t="s">
        <v>276</v>
      </c>
      <c r="R3">
        <f>R2+N3</f>
        <v>1078.2640000000001</v>
      </c>
      <c r="T3" s="15">
        <v>45358</v>
      </c>
      <c r="U3">
        <v>1.92</v>
      </c>
      <c r="V3" s="16">
        <f>N3</f>
        <v>1077.354</v>
      </c>
      <c r="W3" s="17">
        <v>1.25</v>
      </c>
      <c r="X3">
        <f>X2</f>
        <v>653</v>
      </c>
      <c r="Y3" t="s">
        <v>276</v>
      </c>
      <c r="Z3">
        <f>Z2+V3</f>
        <v>1078.2640000000001</v>
      </c>
    </row>
    <row r="4" spans="1:26" x14ac:dyDescent="0.2">
      <c r="A4" s="9" t="s">
        <v>261</v>
      </c>
      <c r="B4" s="7">
        <v>1.66</v>
      </c>
      <c r="C4" s="7">
        <v>1.677</v>
      </c>
      <c r="D4" s="7">
        <v>1.615</v>
      </c>
      <c r="E4" s="7">
        <v>1.625</v>
      </c>
      <c r="F4" s="13">
        <v>913.25</v>
      </c>
      <c r="G4" s="13">
        <v>913.25</v>
      </c>
      <c r="N4" s="16"/>
      <c r="T4" s="15">
        <v>45413</v>
      </c>
      <c r="U4">
        <v>1.68</v>
      </c>
      <c r="V4" s="16">
        <f>N5</f>
        <v>944.16</v>
      </c>
      <c r="W4" s="17">
        <v>1</v>
      </c>
      <c r="X4">
        <f>641</f>
        <v>641</v>
      </c>
      <c r="Y4" t="s">
        <v>287</v>
      </c>
      <c r="Z4">
        <v>1.3839999999999999</v>
      </c>
    </row>
    <row r="5" spans="1:26" x14ac:dyDescent="0.2">
      <c r="A5" s="9" t="s">
        <v>260</v>
      </c>
      <c r="B5" s="7">
        <v>1.645</v>
      </c>
      <c r="C5" s="7">
        <v>1.655</v>
      </c>
      <c r="D5" s="7">
        <v>1.62</v>
      </c>
      <c r="E5" s="7">
        <v>1.625</v>
      </c>
      <c r="F5" s="13">
        <v>913.25</v>
      </c>
      <c r="G5" s="13">
        <v>913.25</v>
      </c>
      <c r="L5" s="15">
        <v>45413</v>
      </c>
      <c r="M5">
        <v>1.68</v>
      </c>
      <c r="N5" s="16">
        <f>F84</f>
        <v>944.16</v>
      </c>
      <c r="O5" s="17">
        <v>1</v>
      </c>
      <c r="P5">
        <f>641</f>
        <v>641</v>
      </c>
      <c r="Q5" t="s">
        <v>287</v>
      </c>
      <c r="R5">
        <v>1.3839999999999999</v>
      </c>
      <c r="T5" s="15">
        <v>45450</v>
      </c>
      <c r="U5">
        <v>1.99</v>
      </c>
      <c r="V5" s="16">
        <f>N6</f>
        <v>1118.3799999999999</v>
      </c>
      <c r="W5" s="46">
        <v>1.18</v>
      </c>
      <c r="X5">
        <f>641</f>
        <v>641</v>
      </c>
      <c r="Y5" t="s">
        <v>276</v>
      </c>
      <c r="Z5" s="16">
        <f>Z4+V5</f>
        <v>1119.7639999999999</v>
      </c>
    </row>
    <row r="6" spans="1:26" x14ac:dyDescent="0.2">
      <c r="A6" s="9" t="s">
        <v>259</v>
      </c>
      <c r="B6" s="7">
        <v>1.615</v>
      </c>
      <c r="C6" s="7">
        <v>1.63</v>
      </c>
      <c r="D6" s="7">
        <v>1.6</v>
      </c>
      <c r="E6" s="7">
        <v>1.63</v>
      </c>
      <c r="F6" s="13">
        <v>916.06</v>
      </c>
      <c r="G6" s="13">
        <v>916.06</v>
      </c>
      <c r="L6" s="15">
        <v>45450</v>
      </c>
      <c r="M6">
        <v>1.99</v>
      </c>
      <c r="N6" s="16">
        <f>F111</f>
        <v>1118.3799999999999</v>
      </c>
      <c r="O6" s="46">
        <v>1.18</v>
      </c>
      <c r="P6">
        <f>641</f>
        <v>641</v>
      </c>
      <c r="Q6" t="s">
        <v>276</v>
      </c>
      <c r="R6" s="16">
        <f>R5+N6</f>
        <v>1119.7639999999999</v>
      </c>
      <c r="T6" s="15">
        <v>45470</v>
      </c>
      <c r="U6">
        <v>1.73</v>
      </c>
      <c r="V6" s="16">
        <f>N8</f>
        <v>972.26</v>
      </c>
      <c r="W6" s="17">
        <v>1</v>
      </c>
      <c r="X6">
        <v>647</v>
      </c>
      <c r="Y6" t="s">
        <v>275</v>
      </c>
      <c r="Z6">
        <v>0.45</v>
      </c>
    </row>
    <row r="7" spans="1:26" x14ac:dyDescent="0.2">
      <c r="A7" s="9" t="s">
        <v>258</v>
      </c>
      <c r="B7" s="7">
        <v>1.64</v>
      </c>
      <c r="C7" s="7">
        <v>1.655</v>
      </c>
      <c r="D7" s="7">
        <v>1.6</v>
      </c>
      <c r="E7" s="7">
        <v>1.605</v>
      </c>
      <c r="F7" s="13">
        <v>902.01</v>
      </c>
      <c r="G7" s="13">
        <v>902.01</v>
      </c>
      <c r="N7" s="16"/>
      <c r="O7" s="16"/>
      <c r="T7" s="15">
        <v>45489</v>
      </c>
      <c r="U7">
        <v>2.15</v>
      </c>
      <c r="V7" s="16">
        <f>N9</f>
        <v>1208.3</v>
      </c>
      <c r="W7" s="17">
        <v>1.24</v>
      </c>
      <c r="X7">
        <f>X6</f>
        <v>647</v>
      </c>
      <c r="Y7" t="s">
        <v>276</v>
      </c>
      <c r="Z7" s="16">
        <f>Z6+V7</f>
        <v>1208.75</v>
      </c>
    </row>
    <row r="8" spans="1:26" x14ac:dyDescent="0.2">
      <c r="A8" s="9" t="s">
        <v>257</v>
      </c>
      <c r="B8" s="7">
        <v>1.6</v>
      </c>
      <c r="C8" s="7">
        <v>1.61</v>
      </c>
      <c r="D8" s="7">
        <v>1.575</v>
      </c>
      <c r="E8" s="7">
        <v>1.59</v>
      </c>
      <c r="F8" s="13">
        <v>893.58</v>
      </c>
      <c r="G8" s="13">
        <v>893.58</v>
      </c>
      <c r="L8" s="15">
        <v>45470</v>
      </c>
      <c r="M8">
        <v>1.73</v>
      </c>
      <c r="N8" s="16">
        <f>F124</f>
        <v>972.26</v>
      </c>
      <c r="O8" s="17">
        <v>1</v>
      </c>
      <c r="P8">
        <v>647</v>
      </c>
      <c r="Q8" t="s">
        <v>275</v>
      </c>
      <c r="R8">
        <v>0.45</v>
      </c>
      <c r="T8" s="15">
        <v>45574</v>
      </c>
      <c r="U8">
        <v>2</v>
      </c>
      <c r="V8" s="16">
        <f>N11</f>
        <v>1121.19</v>
      </c>
      <c r="W8" s="17">
        <v>1</v>
      </c>
      <c r="X8">
        <v>604</v>
      </c>
      <c r="Y8" t="s">
        <v>275</v>
      </c>
      <c r="Z8">
        <v>0.75</v>
      </c>
    </row>
    <row r="9" spans="1:26" x14ac:dyDescent="0.2">
      <c r="A9" s="9" t="s">
        <v>256</v>
      </c>
      <c r="B9" s="7">
        <v>1.585</v>
      </c>
      <c r="C9" s="7">
        <v>1.625</v>
      </c>
      <c r="D9" s="7">
        <v>1.56</v>
      </c>
      <c r="E9" s="7">
        <v>1.615</v>
      </c>
      <c r="F9" s="13">
        <v>907.63</v>
      </c>
      <c r="G9" s="13">
        <v>907.63</v>
      </c>
      <c r="L9" s="15">
        <v>45489</v>
      </c>
      <c r="M9">
        <v>2.15</v>
      </c>
      <c r="N9" s="16">
        <f>F137</f>
        <v>1208.3</v>
      </c>
      <c r="O9" s="17">
        <v>1.24</v>
      </c>
      <c r="P9">
        <f>P8</f>
        <v>647</v>
      </c>
      <c r="Q9" t="s">
        <v>276</v>
      </c>
      <c r="R9" s="16">
        <f>R8+N9</f>
        <v>1208.75</v>
      </c>
      <c r="T9" s="15">
        <v>45588</v>
      </c>
      <c r="U9">
        <v>2.56</v>
      </c>
      <c r="V9" s="16">
        <f>N12</f>
        <v>1438.72</v>
      </c>
      <c r="W9" s="17">
        <v>1.28</v>
      </c>
      <c r="X9">
        <f>X8</f>
        <v>604</v>
      </c>
      <c r="Y9" t="s">
        <v>276</v>
      </c>
      <c r="Z9" s="16">
        <f>Z8+V9</f>
        <v>1439.47</v>
      </c>
    </row>
    <row r="10" spans="1:26" x14ac:dyDescent="0.2">
      <c r="A10" s="9" t="s">
        <v>255</v>
      </c>
      <c r="B10" s="7">
        <v>1.6</v>
      </c>
      <c r="C10" s="7">
        <v>1.625</v>
      </c>
      <c r="D10" s="7">
        <v>1.58</v>
      </c>
      <c r="E10" s="7">
        <v>1.62</v>
      </c>
      <c r="F10" s="13">
        <v>910.44</v>
      </c>
      <c r="G10" s="13">
        <v>910.44</v>
      </c>
      <c r="N10" s="16"/>
      <c r="T10" s="15">
        <v>45630</v>
      </c>
      <c r="U10">
        <v>2.41</v>
      </c>
      <c r="V10" s="16">
        <f>N14</f>
        <v>1354.42</v>
      </c>
      <c r="W10" s="17">
        <v>1</v>
      </c>
      <c r="X10">
        <v>597</v>
      </c>
      <c r="Y10" t="s">
        <v>275</v>
      </c>
      <c r="Z10">
        <v>0.7</v>
      </c>
    </row>
    <row r="11" spans="1:26" x14ac:dyDescent="0.2">
      <c r="A11" s="9" t="s">
        <v>254</v>
      </c>
      <c r="B11" s="7">
        <v>1.635</v>
      </c>
      <c r="C11" s="7">
        <v>1.655</v>
      </c>
      <c r="D11" s="7">
        <v>1.617</v>
      </c>
      <c r="E11" s="7">
        <v>1.64</v>
      </c>
      <c r="F11" s="13">
        <v>921.68</v>
      </c>
      <c r="G11" s="13">
        <v>921.68</v>
      </c>
      <c r="L11" s="15">
        <v>45574</v>
      </c>
      <c r="M11">
        <v>2</v>
      </c>
      <c r="N11" s="16">
        <f>F198</f>
        <v>1121.19</v>
      </c>
      <c r="O11" s="17">
        <v>1</v>
      </c>
      <c r="P11">
        <v>604</v>
      </c>
      <c r="Q11" t="s">
        <v>275</v>
      </c>
      <c r="R11">
        <v>0.75</v>
      </c>
      <c r="T11" s="15">
        <v>45637</v>
      </c>
      <c r="U11">
        <v>2.77</v>
      </c>
      <c r="V11" s="16">
        <f>N15</f>
        <v>1556.74</v>
      </c>
      <c r="W11" s="17">
        <v>1.1499999999999999</v>
      </c>
      <c r="X11">
        <f>X10</f>
        <v>597</v>
      </c>
      <c r="Y11" t="s">
        <v>276</v>
      </c>
      <c r="Z11" s="16">
        <f>Z10+V11</f>
        <v>1557.44</v>
      </c>
    </row>
    <row r="12" spans="1:26" x14ac:dyDescent="0.2">
      <c r="A12" s="9" t="s">
        <v>253</v>
      </c>
      <c r="B12" s="7">
        <v>1.63</v>
      </c>
      <c r="C12" s="7">
        <v>1.665</v>
      </c>
      <c r="D12" s="7">
        <v>1.615</v>
      </c>
      <c r="E12" s="7">
        <v>1.65</v>
      </c>
      <c r="F12" s="13">
        <v>927.3</v>
      </c>
      <c r="G12" s="13">
        <v>927.3</v>
      </c>
      <c r="L12" s="15">
        <v>45588</v>
      </c>
      <c r="M12">
        <v>2.56</v>
      </c>
      <c r="N12" s="16">
        <f>F208</f>
        <v>1438.72</v>
      </c>
      <c r="O12" s="17">
        <v>1.28</v>
      </c>
      <c r="P12">
        <f>P11</f>
        <v>604</v>
      </c>
      <c r="Q12" t="s">
        <v>276</v>
      </c>
      <c r="R12" s="16">
        <f>R11+N12</f>
        <v>1439.47</v>
      </c>
    </row>
    <row r="13" spans="1:26" x14ac:dyDescent="0.2">
      <c r="A13" s="9" t="s">
        <v>252</v>
      </c>
      <c r="B13" s="7">
        <v>1.6</v>
      </c>
      <c r="C13" s="7">
        <v>1.623</v>
      </c>
      <c r="D13" s="7">
        <v>1.575</v>
      </c>
      <c r="E13" s="7">
        <v>1.62</v>
      </c>
      <c r="F13" s="13">
        <v>910.44</v>
      </c>
      <c r="G13" s="13">
        <v>910.44</v>
      </c>
      <c r="N13" s="16"/>
    </row>
    <row r="14" spans="1:26" x14ac:dyDescent="0.2">
      <c r="A14" s="9" t="s">
        <v>251</v>
      </c>
      <c r="B14" s="7">
        <v>1.58</v>
      </c>
      <c r="C14" s="7">
        <v>1.617</v>
      </c>
      <c r="D14" s="7">
        <v>1.575</v>
      </c>
      <c r="E14" s="7">
        <v>1.59</v>
      </c>
      <c r="F14" s="13">
        <v>893.58</v>
      </c>
      <c r="G14" s="13">
        <v>893.58</v>
      </c>
      <c r="L14" s="15">
        <v>45630</v>
      </c>
      <c r="M14">
        <v>2.41</v>
      </c>
      <c r="N14" s="16">
        <f>F238</f>
        <v>1354.42</v>
      </c>
      <c r="O14" s="17">
        <v>1</v>
      </c>
      <c r="P14">
        <v>597</v>
      </c>
      <c r="Q14" t="s">
        <v>275</v>
      </c>
      <c r="R14">
        <v>0.7</v>
      </c>
    </row>
    <row r="15" spans="1:26" x14ac:dyDescent="0.2">
      <c r="A15" s="9" t="s">
        <v>250</v>
      </c>
      <c r="B15" s="7">
        <v>1.62</v>
      </c>
      <c r="C15" s="7">
        <v>1.633</v>
      </c>
      <c r="D15" s="7">
        <v>1.59</v>
      </c>
      <c r="E15" s="7">
        <v>1.605</v>
      </c>
      <c r="F15" s="13">
        <v>902.01</v>
      </c>
      <c r="G15" s="13">
        <v>902.01</v>
      </c>
      <c r="L15" s="15">
        <v>45637</v>
      </c>
      <c r="M15">
        <v>2.77</v>
      </c>
      <c r="N15" s="16">
        <f>F243</f>
        <v>1556.74</v>
      </c>
      <c r="O15" s="17">
        <v>1.1499999999999999</v>
      </c>
      <c r="P15">
        <f>P14</f>
        <v>597</v>
      </c>
      <c r="Q15" t="s">
        <v>276</v>
      </c>
      <c r="R15" s="16">
        <f>R14+N15</f>
        <v>1557.44</v>
      </c>
    </row>
    <row r="16" spans="1:26" x14ac:dyDescent="0.2">
      <c r="A16" s="9" t="s">
        <v>249</v>
      </c>
      <c r="B16" s="7">
        <v>1.61</v>
      </c>
      <c r="C16" s="7">
        <v>1.625</v>
      </c>
      <c r="D16" s="7">
        <v>1.587</v>
      </c>
      <c r="E16" s="7">
        <v>1.605</v>
      </c>
      <c r="F16" s="13">
        <v>902.01</v>
      </c>
      <c r="G16" s="13">
        <v>902.01</v>
      </c>
    </row>
    <row r="17" spans="1:7" x14ac:dyDescent="0.2">
      <c r="A17" s="9" t="s">
        <v>248</v>
      </c>
      <c r="B17" s="7">
        <v>1.61</v>
      </c>
      <c r="C17" s="7">
        <v>1.61</v>
      </c>
      <c r="D17" s="7">
        <v>1.52</v>
      </c>
      <c r="E17" s="7">
        <v>1.53</v>
      </c>
      <c r="F17" s="13">
        <v>859.86</v>
      </c>
      <c r="G17" s="13">
        <v>859.86</v>
      </c>
    </row>
    <row r="18" spans="1:7" x14ac:dyDescent="0.2">
      <c r="A18" s="9" t="s">
        <v>247</v>
      </c>
      <c r="B18" s="7">
        <v>1.54</v>
      </c>
      <c r="C18" s="7">
        <v>1.62</v>
      </c>
      <c r="D18" s="7">
        <v>1.5149999999999999</v>
      </c>
      <c r="E18" s="7">
        <v>1.585</v>
      </c>
      <c r="F18" s="13">
        <v>890.77</v>
      </c>
      <c r="G18" s="13">
        <v>890.77</v>
      </c>
    </row>
    <row r="19" spans="1:7" x14ac:dyDescent="0.2">
      <c r="A19" s="9" t="s">
        <v>246</v>
      </c>
      <c r="B19" s="7">
        <v>1.585</v>
      </c>
      <c r="C19" s="7">
        <v>1.593</v>
      </c>
      <c r="D19" s="7">
        <v>1.5449999999999999</v>
      </c>
      <c r="E19" s="7">
        <v>1.5649999999999999</v>
      </c>
      <c r="F19" s="13">
        <v>879.53</v>
      </c>
      <c r="G19" s="13">
        <v>879.53</v>
      </c>
    </row>
    <row r="20" spans="1:7" x14ac:dyDescent="0.2">
      <c r="A20" s="9" t="s">
        <v>245</v>
      </c>
      <c r="B20" s="7">
        <v>1.5449999999999999</v>
      </c>
      <c r="C20" s="7">
        <v>1.5649999999999999</v>
      </c>
      <c r="D20" s="7">
        <v>1.4850000000000001</v>
      </c>
      <c r="E20" s="7">
        <v>1.5549999999999999</v>
      </c>
      <c r="F20" s="13">
        <v>873.91</v>
      </c>
      <c r="G20" s="13">
        <v>873.91</v>
      </c>
    </row>
    <row r="21" spans="1:7" x14ac:dyDescent="0.2">
      <c r="A21" s="9" t="s">
        <v>244</v>
      </c>
      <c r="B21" s="7">
        <v>1.5649999999999999</v>
      </c>
      <c r="C21" s="7">
        <v>1.613</v>
      </c>
      <c r="D21" s="7">
        <v>1.5449999999999999</v>
      </c>
      <c r="E21" s="7">
        <v>1.6</v>
      </c>
      <c r="F21" s="13">
        <v>899.2</v>
      </c>
      <c r="G21" s="13">
        <v>899.2</v>
      </c>
    </row>
    <row r="22" spans="1:7" x14ac:dyDescent="0.2">
      <c r="A22" s="9" t="s">
        <v>243</v>
      </c>
      <c r="B22" s="7">
        <v>1.59</v>
      </c>
      <c r="C22" s="7">
        <v>1.635</v>
      </c>
      <c r="D22" s="7">
        <v>1.5649999999999999</v>
      </c>
      <c r="E22" s="7">
        <v>1.625</v>
      </c>
      <c r="F22" s="13">
        <v>913.25</v>
      </c>
      <c r="G22" s="13">
        <v>913.25</v>
      </c>
    </row>
    <row r="23" spans="1:7" x14ac:dyDescent="0.2">
      <c r="A23" s="9" t="s">
        <v>242</v>
      </c>
      <c r="B23" s="7">
        <v>1.6</v>
      </c>
      <c r="C23" s="7">
        <v>1.61</v>
      </c>
      <c r="D23" s="7">
        <v>1.5349999999999999</v>
      </c>
      <c r="E23" s="7">
        <v>1.605</v>
      </c>
      <c r="F23" s="13">
        <v>902.01</v>
      </c>
      <c r="G23" s="13">
        <v>902.01</v>
      </c>
    </row>
    <row r="24" spans="1:7" x14ac:dyDescent="0.2">
      <c r="A24" s="9" t="s">
        <v>241</v>
      </c>
      <c r="B24" s="7">
        <v>1.66</v>
      </c>
      <c r="C24" s="7">
        <v>1.74</v>
      </c>
      <c r="D24" s="7">
        <v>1.66</v>
      </c>
      <c r="E24" s="7">
        <v>1.6950000000000001</v>
      </c>
      <c r="F24" s="13">
        <v>952.59</v>
      </c>
      <c r="G24" s="13">
        <v>952.59</v>
      </c>
    </row>
    <row r="25" spans="1:7" x14ac:dyDescent="0.2">
      <c r="A25" s="9" t="s">
        <v>240</v>
      </c>
      <c r="B25" s="7">
        <v>1.645</v>
      </c>
      <c r="C25" s="7">
        <v>1.65</v>
      </c>
      <c r="D25" s="7">
        <v>1.585</v>
      </c>
      <c r="E25" s="7">
        <v>1.605</v>
      </c>
      <c r="F25" s="13">
        <v>902.01</v>
      </c>
      <c r="G25" s="13">
        <v>902.01</v>
      </c>
    </row>
    <row r="26" spans="1:7" x14ac:dyDescent="0.2">
      <c r="A26" s="9" t="s">
        <v>239</v>
      </c>
      <c r="B26" s="7">
        <v>1.6</v>
      </c>
      <c r="C26" s="7">
        <v>1.62</v>
      </c>
      <c r="D26" s="7">
        <v>1.5649999999999999</v>
      </c>
      <c r="E26" s="7">
        <v>1.585</v>
      </c>
      <c r="F26" s="13">
        <v>890.77</v>
      </c>
      <c r="G26" s="13">
        <v>890.77</v>
      </c>
    </row>
    <row r="27" spans="1:7" x14ac:dyDescent="0.2">
      <c r="A27" s="9" t="s">
        <v>238</v>
      </c>
      <c r="B27" s="7">
        <v>1.6</v>
      </c>
      <c r="C27" s="7">
        <v>1.607</v>
      </c>
      <c r="D27" s="7">
        <v>1.57</v>
      </c>
      <c r="E27" s="7">
        <v>1.605</v>
      </c>
      <c r="F27" s="13">
        <v>902.01</v>
      </c>
      <c r="G27" s="13">
        <v>902.01</v>
      </c>
    </row>
    <row r="28" spans="1:7" x14ac:dyDescent="0.2">
      <c r="A28" s="9" t="s">
        <v>237</v>
      </c>
      <c r="B28" s="7">
        <v>1.605</v>
      </c>
      <c r="C28" s="7">
        <v>1.65</v>
      </c>
      <c r="D28" s="7">
        <v>1.587</v>
      </c>
      <c r="E28" s="7">
        <v>1.61</v>
      </c>
      <c r="F28" s="13">
        <v>904.82</v>
      </c>
      <c r="G28" s="13">
        <v>904.82</v>
      </c>
    </row>
    <row r="29" spans="1:7" x14ac:dyDescent="0.2">
      <c r="A29" s="9" t="s">
        <v>236</v>
      </c>
      <c r="B29" s="7">
        <v>1.6</v>
      </c>
      <c r="C29" s="7">
        <v>1.605</v>
      </c>
      <c r="D29" s="7">
        <v>1.55</v>
      </c>
      <c r="E29" s="7">
        <v>1.56</v>
      </c>
      <c r="F29" s="13">
        <v>876.72</v>
      </c>
      <c r="G29" s="13">
        <v>876.72</v>
      </c>
    </row>
    <row r="30" spans="1:7" x14ac:dyDescent="0.2">
      <c r="A30" s="9" t="s">
        <v>235</v>
      </c>
      <c r="B30" s="7">
        <v>1.585</v>
      </c>
      <c r="C30" s="7">
        <v>1.585</v>
      </c>
      <c r="D30" s="7">
        <v>1.54</v>
      </c>
      <c r="E30" s="7">
        <v>1.54</v>
      </c>
      <c r="F30" s="13">
        <v>865.48</v>
      </c>
      <c r="G30" s="13">
        <v>865.48</v>
      </c>
    </row>
    <row r="31" spans="1:7" x14ac:dyDescent="0.2">
      <c r="A31" s="9" t="s">
        <v>234</v>
      </c>
      <c r="B31" s="7">
        <v>1.5649999999999999</v>
      </c>
      <c r="C31" s="7">
        <v>1.605</v>
      </c>
      <c r="D31" s="7">
        <v>1.55</v>
      </c>
      <c r="E31" s="7">
        <v>1.57</v>
      </c>
      <c r="F31" s="13">
        <v>882.34</v>
      </c>
      <c r="G31" s="13">
        <v>882.34</v>
      </c>
    </row>
    <row r="32" spans="1:7" x14ac:dyDescent="0.2">
      <c r="A32" s="9" t="s">
        <v>233</v>
      </c>
      <c r="B32" s="7">
        <v>1.51</v>
      </c>
      <c r="C32" s="7">
        <v>1.532</v>
      </c>
      <c r="D32" s="7">
        <v>1.4650000000000001</v>
      </c>
      <c r="E32" s="7">
        <v>1.52</v>
      </c>
      <c r="F32" s="13">
        <v>854.24</v>
      </c>
      <c r="G32" s="13">
        <v>854.24</v>
      </c>
    </row>
    <row r="33" spans="1:7" x14ac:dyDescent="0.2">
      <c r="A33" s="9" t="s">
        <v>232</v>
      </c>
      <c r="B33" s="7">
        <v>1.5149999999999999</v>
      </c>
      <c r="C33" s="7">
        <v>1.54</v>
      </c>
      <c r="D33" s="7">
        <v>1.5</v>
      </c>
      <c r="E33" s="7">
        <v>1.5049999999999999</v>
      </c>
      <c r="F33" s="13">
        <v>845.81</v>
      </c>
      <c r="G33" s="13">
        <v>845.81</v>
      </c>
    </row>
    <row r="34" spans="1:7" x14ac:dyDescent="0.2">
      <c r="A34" s="9" t="s">
        <v>231</v>
      </c>
      <c r="B34" s="7">
        <v>1.55</v>
      </c>
      <c r="C34" s="7">
        <v>1.57</v>
      </c>
      <c r="D34" s="7">
        <v>1.5149999999999999</v>
      </c>
      <c r="E34" s="7">
        <v>1.5249999999999999</v>
      </c>
      <c r="F34" s="13">
        <v>857.05</v>
      </c>
      <c r="G34" s="13">
        <v>857.05</v>
      </c>
    </row>
    <row r="35" spans="1:7" x14ac:dyDescent="0.2">
      <c r="A35" s="9" t="s">
        <v>230</v>
      </c>
      <c r="B35" s="7">
        <v>1.5249999999999999</v>
      </c>
      <c r="C35" s="7">
        <v>1.53</v>
      </c>
      <c r="D35" s="7">
        <v>1.5049999999999999</v>
      </c>
      <c r="E35" s="7">
        <v>1.5249999999999999</v>
      </c>
      <c r="F35" s="13">
        <v>857.05</v>
      </c>
      <c r="G35" s="13">
        <v>857.05</v>
      </c>
    </row>
    <row r="36" spans="1:7" x14ac:dyDescent="0.2">
      <c r="A36" s="9" t="s">
        <v>229</v>
      </c>
      <c r="B36" s="7">
        <v>1.53</v>
      </c>
      <c r="C36" s="7">
        <v>1.542</v>
      </c>
      <c r="D36" s="7">
        <v>1.51</v>
      </c>
      <c r="E36" s="7">
        <v>1.54</v>
      </c>
      <c r="F36" s="13">
        <v>865.48</v>
      </c>
      <c r="G36" s="13">
        <v>865.48</v>
      </c>
    </row>
    <row r="37" spans="1:7" x14ac:dyDescent="0.2">
      <c r="A37" s="9" t="s">
        <v>228</v>
      </c>
      <c r="B37" s="7">
        <v>1.5549999999999999</v>
      </c>
      <c r="C37" s="7">
        <v>1.595</v>
      </c>
      <c r="D37" s="7">
        <v>1.55</v>
      </c>
      <c r="E37" s="7">
        <v>1.5649999999999999</v>
      </c>
      <c r="F37" s="13">
        <v>879.53</v>
      </c>
      <c r="G37" s="13">
        <v>879.53</v>
      </c>
    </row>
    <row r="38" spans="1:7" x14ac:dyDescent="0.2">
      <c r="A38" s="9" t="s">
        <v>227</v>
      </c>
      <c r="B38" s="7">
        <v>1.55</v>
      </c>
      <c r="C38" s="7">
        <v>1.57</v>
      </c>
      <c r="D38" s="7">
        <v>1.52</v>
      </c>
      <c r="E38" s="7">
        <v>1.5549999999999999</v>
      </c>
      <c r="F38" s="13">
        <v>873.91</v>
      </c>
      <c r="G38" s="13">
        <v>873.91</v>
      </c>
    </row>
    <row r="39" spans="1:7" x14ac:dyDescent="0.2">
      <c r="A39" s="9" t="s">
        <v>226</v>
      </c>
      <c r="B39" s="7">
        <v>1.54</v>
      </c>
      <c r="C39" s="7">
        <v>1.5649999999999999</v>
      </c>
      <c r="D39" s="7">
        <v>1.54</v>
      </c>
      <c r="E39" s="7">
        <v>1.56</v>
      </c>
      <c r="F39" s="13">
        <v>876.72</v>
      </c>
      <c r="G39" s="13">
        <v>876.72</v>
      </c>
    </row>
    <row r="40" spans="1:7" x14ac:dyDescent="0.2">
      <c r="A40" s="9" t="s">
        <v>225</v>
      </c>
      <c r="B40" s="7">
        <v>1.59</v>
      </c>
      <c r="C40" s="7">
        <v>1.625</v>
      </c>
      <c r="D40" s="7">
        <v>1.585</v>
      </c>
      <c r="E40" s="7">
        <v>1.61</v>
      </c>
      <c r="F40" s="13">
        <v>904.82</v>
      </c>
      <c r="G40" s="13">
        <v>904.82</v>
      </c>
    </row>
    <row r="41" spans="1:7" x14ac:dyDescent="0.2">
      <c r="A41" s="9" t="s">
        <v>224</v>
      </c>
      <c r="B41" s="7">
        <v>1.59</v>
      </c>
      <c r="C41" s="7">
        <v>1.6</v>
      </c>
      <c r="D41" s="7">
        <v>1.52</v>
      </c>
      <c r="E41" s="7">
        <v>1.57</v>
      </c>
      <c r="F41" s="13">
        <v>882.34</v>
      </c>
      <c r="G41" s="13">
        <v>882.34</v>
      </c>
    </row>
    <row r="42" spans="1:7" x14ac:dyDescent="0.2">
      <c r="A42" s="9" t="s">
        <v>223</v>
      </c>
      <c r="B42" s="7">
        <v>1.59</v>
      </c>
      <c r="C42" s="7">
        <v>1.615</v>
      </c>
      <c r="D42" s="7">
        <v>1.57</v>
      </c>
      <c r="E42" s="7">
        <v>1.575</v>
      </c>
      <c r="F42" s="13">
        <v>885.15</v>
      </c>
      <c r="G42" s="13">
        <v>885.15</v>
      </c>
    </row>
    <row r="43" spans="1:7" s="41" customFormat="1" x14ac:dyDescent="0.2">
      <c r="A43" s="38" t="s">
        <v>222</v>
      </c>
      <c r="B43" s="39">
        <v>1.57</v>
      </c>
      <c r="C43" s="39">
        <v>1.57</v>
      </c>
      <c r="D43" s="39">
        <v>1.48</v>
      </c>
      <c r="E43" s="39">
        <v>1.53</v>
      </c>
      <c r="F43" s="40">
        <v>859.86</v>
      </c>
      <c r="G43" s="40">
        <v>859.86</v>
      </c>
    </row>
    <row r="44" spans="1:7" x14ac:dyDescent="0.2">
      <c r="A44" s="9" t="s">
        <v>221</v>
      </c>
      <c r="B44" s="7">
        <v>1.5449999999999999</v>
      </c>
      <c r="C44" s="7">
        <v>1.58</v>
      </c>
      <c r="D44" s="7">
        <v>1.5449999999999999</v>
      </c>
      <c r="E44" s="7">
        <v>1.58</v>
      </c>
      <c r="F44" s="13">
        <v>887.96</v>
      </c>
      <c r="G44" s="13">
        <v>887.96</v>
      </c>
    </row>
    <row r="45" spans="1:7" x14ac:dyDescent="0.2">
      <c r="A45" s="9" t="s">
        <v>220</v>
      </c>
      <c r="B45" s="7">
        <v>1.625</v>
      </c>
      <c r="C45" s="7">
        <v>1.72</v>
      </c>
      <c r="D45" s="7">
        <v>1.625</v>
      </c>
      <c r="E45" s="7">
        <v>1.7</v>
      </c>
      <c r="F45" s="13">
        <v>955.4</v>
      </c>
      <c r="G45" s="13">
        <v>955.4</v>
      </c>
    </row>
    <row r="46" spans="1:7" x14ac:dyDescent="0.2">
      <c r="A46" s="9" t="s">
        <v>219</v>
      </c>
      <c r="B46" s="7">
        <v>1.7450000000000001</v>
      </c>
      <c r="C46" s="7">
        <v>1.84</v>
      </c>
      <c r="D46" s="7">
        <v>1.7250000000000001</v>
      </c>
      <c r="E46" s="7">
        <v>1.825</v>
      </c>
      <c r="F46" s="13">
        <v>1025.6499999999999</v>
      </c>
      <c r="G46" s="13">
        <v>1025.6499999999999</v>
      </c>
    </row>
    <row r="47" spans="1:7" x14ac:dyDescent="0.2">
      <c r="A47" s="9" t="s">
        <v>218</v>
      </c>
      <c r="B47" s="7">
        <v>1.82</v>
      </c>
      <c r="C47" s="7">
        <v>1.865</v>
      </c>
      <c r="D47" s="7">
        <v>1.82</v>
      </c>
      <c r="E47" s="7">
        <v>1.855</v>
      </c>
      <c r="F47" s="13">
        <v>1042.51</v>
      </c>
      <c r="G47" s="13">
        <v>1042.51</v>
      </c>
    </row>
    <row r="48" spans="1:7" s="41" customFormat="1" x14ac:dyDescent="0.2">
      <c r="A48" s="38" t="s">
        <v>217</v>
      </c>
      <c r="B48" s="39">
        <v>1.875</v>
      </c>
      <c r="C48" s="39">
        <v>1.9850000000000001</v>
      </c>
      <c r="D48" s="39">
        <v>1.875</v>
      </c>
      <c r="E48" s="39">
        <v>1.917</v>
      </c>
      <c r="F48" s="40">
        <v>1077.354</v>
      </c>
      <c r="G48" s="40">
        <v>1077.354</v>
      </c>
    </row>
    <row r="49" spans="1:7" x14ac:dyDescent="0.2">
      <c r="A49" s="9" t="s">
        <v>216</v>
      </c>
      <c r="B49" s="7">
        <v>1.915</v>
      </c>
      <c r="C49" s="7">
        <v>1.92</v>
      </c>
      <c r="D49" s="7">
        <v>1.837</v>
      </c>
      <c r="E49" s="7">
        <v>1.86</v>
      </c>
      <c r="F49" s="13">
        <v>1045.3200000000002</v>
      </c>
      <c r="G49" s="13">
        <v>1045.3200000000002</v>
      </c>
    </row>
    <row r="50" spans="1:7" x14ac:dyDescent="0.2">
      <c r="A50" s="9" t="s">
        <v>215</v>
      </c>
      <c r="B50" s="7">
        <v>1.88</v>
      </c>
      <c r="C50" s="7">
        <v>1.905</v>
      </c>
      <c r="D50" s="7">
        <v>1.84</v>
      </c>
      <c r="E50" s="7">
        <v>1.87</v>
      </c>
      <c r="F50" s="13">
        <v>1050.94</v>
      </c>
      <c r="G50" s="13">
        <v>1050.94</v>
      </c>
    </row>
    <row r="51" spans="1:7" x14ac:dyDescent="0.2">
      <c r="A51" s="9" t="s">
        <v>214</v>
      </c>
      <c r="B51" s="7">
        <v>1.885</v>
      </c>
      <c r="C51" s="7">
        <v>1.915</v>
      </c>
      <c r="D51" s="7">
        <v>1.87</v>
      </c>
      <c r="E51" s="7">
        <v>1.895</v>
      </c>
      <c r="F51" s="13">
        <v>1064.99</v>
      </c>
      <c r="G51" s="13">
        <v>1064.99</v>
      </c>
    </row>
    <row r="52" spans="1:7" x14ac:dyDescent="0.2">
      <c r="A52" s="9" t="s">
        <v>213</v>
      </c>
      <c r="B52" s="7">
        <v>1.89</v>
      </c>
      <c r="C52" s="7">
        <v>1.91</v>
      </c>
      <c r="D52" s="7">
        <v>1.837</v>
      </c>
      <c r="E52" s="7">
        <v>1.89</v>
      </c>
      <c r="F52" s="13">
        <v>1062.1799999999998</v>
      </c>
      <c r="G52" s="13">
        <v>1062.1799999999998</v>
      </c>
    </row>
    <row r="53" spans="1:7" x14ac:dyDescent="0.2">
      <c r="A53" s="9" t="s">
        <v>212</v>
      </c>
      <c r="B53" s="7">
        <v>1.915</v>
      </c>
      <c r="C53" s="7">
        <v>1.95</v>
      </c>
      <c r="D53" s="7">
        <v>1.867</v>
      </c>
      <c r="E53" s="7">
        <v>1.895</v>
      </c>
      <c r="F53" s="13">
        <v>1064.99</v>
      </c>
      <c r="G53" s="13">
        <v>1064.99</v>
      </c>
    </row>
    <row r="54" spans="1:7" x14ac:dyDescent="0.2">
      <c r="A54" s="9" t="s">
        <v>211</v>
      </c>
      <c r="B54" s="7">
        <v>1.89</v>
      </c>
      <c r="C54" s="7">
        <v>1.96</v>
      </c>
      <c r="D54" s="7">
        <v>1.885</v>
      </c>
      <c r="E54" s="7">
        <v>1.92</v>
      </c>
      <c r="F54" s="13">
        <v>1079.04</v>
      </c>
      <c r="G54" s="13">
        <v>1079.04</v>
      </c>
    </row>
    <row r="55" spans="1:7" x14ac:dyDescent="0.2">
      <c r="A55" s="9" t="s">
        <v>210</v>
      </c>
      <c r="B55" s="7">
        <v>1.91</v>
      </c>
      <c r="C55" s="7">
        <v>1.92</v>
      </c>
      <c r="D55" s="7">
        <v>1.84</v>
      </c>
      <c r="E55" s="7">
        <v>1.865</v>
      </c>
      <c r="F55" s="13">
        <v>1048.1299999999999</v>
      </c>
      <c r="G55" s="13">
        <v>1048.1299999999999</v>
      </c>
    </row>
    <row r="56" spans="1:7" x14ac:dyDescent="0.2">
      <c r="A56" s="9" t="s">
        <v>209</v>
      </c>
      <c r="B56" s="7">
        <v>1.895</v>
      </c>
      <c r="C56" s="7">
        <v>1.895</v>
      </c>
      <c r="D56" s="7">
        <v>1.843</v>
      </c>
      <c r="E56" s="7">
        <v>1.885</v>
      </c>
      <c r="F56" s="13">
        <v>1059.3700000000001</v>
      </c>
      <c r="G56" s="13">
        <v>1059.3700000000001</v>
      </c>
    </row>
    <row r="57" spans="1:7" x14ac:dyDescent="0.2">
      <c r="A57" s="9" t="s">
        <v>208</v>
      </c>
      <c r="B57" s="7">
        <v>1.885</v>
      </c>
      <c r="C57" s="7">
        <v>1.885</v>
      </c>
      <c r="D57" s="7">
        <v>1.845</v>
      </c>
      <c r="E57" s="7">
        <v>1.88</v>
      </c>
      <c r="F57" s="13">
        <v>1056.56</v>
      </c>
      <c r="G57" s="13">
        <v>1056.56</v>
      </c>
    </row>
    <row r="58" spans="1:7" x14ac:dyDescent="0.2">
      <c r="A58" s="9" t="s">
        <v>207</v>
      </c>
      <c r="B58" s="7">
        <v>1.94</v>
      </c>
      <c r="C58" s="7">
        <v>1.98</v>
      </c>
      <c r="D58" s="7">
        <v>1.9</v>
      </c>
      <c r="E58" s="7">
        <v>1.92</v>
      </c>
      <c r="F58" s="13">
        <v>1079.04</v>
      </c>
      <c r="G58" s="13">
        <v>1079.04</v>
      </c>
    </row>
    <row r="59" spans="1:7" x14ac:dyDescent="0.2">
      <c r="A59" s="9" t="s">
        <v>206</v>
      </c>
      <c r="B59" s="7">
        <v>1.82</v>
      </c>
      <c r="C59" s="7">
        <v>1.835</v>
      </c>
      <c r="D59" s="7">
        <v>1.75</v>
      </c>
      <c r="E59" s="7">
        <v>1.8</v>
      </c>
      <c r="F59" s="13">
        <v>1011.6</v>
      </c>
      <c r="G59" s="13">
        <v>1011.6</v>
      </c>
    </row>
    <row r="60" spans="1:7" x14ac:dyDescent="0.2">
      <c r="A60" s="9" t="s">
        <v>205</v>
      </c>
      <c r="B60" s="7">
        <v>1.81</v>
      </c>
      <c r="C60" s="7">
        <v>1.83</v>
      </c>
      <c r="D60" s="7">
        <v>1.74</v>
      </c>
      <c r="E60" s="7">
        <v>1.8</v>
      </c>
      <c r="F60" s="13">
        <v>1011.6</v>
      </c>
      <c r="G60" s="13">
        <v>1011.6</v>
      </c>
    </row>
    <row r="61" spans="1:7" x14ac:dyDescent="0.2">
      <c r="A61" s="9" t="s">
        <v>204</v>
      </c>
      <c r="B61" s="7">
        <v>1.845</v>
      </c>
      <c r="C61" s="7">
        <v>1.853</v>
      </c>
      <c r="D61" s="7">
        <v>1.76</v>
      </c>
      <c r="E61" s="7">
        <v>1.76</v>
      </c>
      <c r="F61" s="13">
        <v>989.12</v>
      </c>
      <c r="G61" s="13">
        <v>989.12</v>
      </c>
    </row>
    <row r="62" spans="1:7" x14ac:dyDescent="0.2">
      <c r="A62" s="9" t="s">
        <v>203</v>
      </c>
      <c r="B62" s="7">
        <v>1.77</v>
      </c>
      <c r="C62" s="7">
        <v>1.8049999999999999</v>
      </c>
      <c r="D62" s="7">
        <v>1.72</v>
      </c>
      <c r="E62" s="7">
        <v>1.8049999999999999</v>
      </c>
      <c r="F62" s="13">
        <v>1014.41</v>
      </c>
      <c r="G62" s="13">
        <v>1014.41</v>
      </c>
    </row>
    <row r="63" spans="1:7" x14ac:dyDescent="0.2">
      <c r="A63" s="9" t="s">
        <v>202</v>
      </c>
      <c r="B63" s="7">
        <v>1.83</v>
      </c>
      <c r="C63" s="7">
        <v>1.89</v>
      </c>
      <c r="D63" s="7">
        <v>1.83</v>
      </c>
      <c r="E63" s="7">
        <v>1.855</v>
      </c>
      <c r="F63" s="13">
        <v>1042.51</v>
      </c>
      <c r="G63" s="13">
        <v>1042.51</v>
      </c>
    </row>
    <row r="64" spans="1:7" x14ac:dyDescent="0.2">
      <c r="A64" s="9" t="s">
        <v>201</v>
      </c>
      <c r="B64" s="7">
        <v>1.9</v>
      </c>
      <c r="C64" s="7">
        <v>1.95</v>
      </c>
      <c r="D64" s="7">
        <v>1.9</v>
      </c>
      <c r="E64" s="7">
        <v>1.9350000000000001</v>
      </c>
      <c r="F64" s="13">
        <v>1087.47</v>
      </c>
      <c r="G64" s="13">
        <v>1087.47</v>
      </c>
    </row>
    <row r="65" spans="1:7" x14ac:dyDescent="0.2">
      <c r="A65" s="9" t="s">
        <v>200</v>
      </c>
      <c r="B65" s="7">
        <v>1.95</v>
      </c>
      <c r="C65" s="7">
        <v>1.96</v>
      </c>
      <c r="D65" s="7">
        <v>1.9</v>
      </c>
      <c r="E65" s="7">
        <v>1.905</v>
      </c>
      <c r="F65" s="13">
        <v>1070.6100000000001</v>
      </c>
      <c r="G65" s="13">
        <v>1070.6100000000001</v>
      </c>
    </row>
    <row r="66" spans="1:7" x14ac:dyDescent="0.2">
      <c r="A66" s="9" t="s">
        <v>199</v>
      </c>
      <c r="B66" s="7">
        <v>1.9350000000000001</v>
      </c>
      <c r="C66" s="7">
        <v>1.9450000000000001</v>
      </c>
      <c r="D66" s="7">
        <v>1.89</v>
      </c>
      <c r="E66" s="7">
        <v>1.91</v>
      </c>
      <c r="F66" s="13">
        <v>1073.4199999999998</v>
      </c>
      <c r="G66" s="13">
        <v>1073.4199999999998</v>
      </c>
    </row>
    <row r="67" spans="1:7" x14ac:dyDescent="0.2">
      <c r="A67" s="9" t="s">
        <v>198</v>
      </c>
      <c r="B67" s="7">
        <v>1.89</v>
      </c>
      <c r="C67" s="7">
        <v>1.89</v>
      </c>
      <c r="D67" s="7">
        <v>1.845</v>
      </c>
      <c r="E67" s="7">
        <v>1.855</v>
      </c>
      <c r="F67" s="13">
        <v>1042.51</v>
      </c>
      <c r="G67" s="13">
        <v>1042.51</v>
      </c>
    </row>
    <row r="68" spans="1:7" x14ac:dyDescent="0.2">
      <c r="A68" s="9" t="s">
        <v>197</v>
      </c>
      <c r="B68" s="7">
        <v>1.9</v>
      </c>
      <c r="C68" s="7">
        <v>1.958</v>
      </c>
      <c r="D68" s="7">
        <v>1.865</v>
      </c>
      <c r="E68" s="7">
        <v>1.9450000000000001</v>
      </c>
      <c r="F68" s="13">
        <v>1093.0900000000001</v>
      </c>
      <c r="G68" s="13">
        <v>1093.0900000000001</v>
      </c>
    </row>
    <row r="69" spans="1:7" x14ac:dyDescent="0.2">
      <c r="A69" s="9" t="s">
        <v>196</v>
      </c>
      <c r="B69" s="7">
        <v>1.97</v>
      </c>
      <c r="C69" s="7">
        <v>1.97</v>
      </c>
      <c r="D69" s="7">
        <v>1.93</v>
      </c>
      <c r="E69" s="7">
        <v>1.95</v>
      </c>
      <c r="F69" s="13">
        <v>1095.8999999999999</v>
      </c>
      <c r="G69" s="13">
        <v>1095.8999999999999</v>
      </c>
    </row>
    <row r="70" spans="1:7" x14ac:dyDescent="0.2">
      <c r="A70" s="9" t="s">
        <v>195</v>
      </c>
      <c r="B70" s="7">
        <v>1.9350000000000001</v>
      </c>
      <c r="C70" s="7">
        <v>1.9450000000000001</v>
      </c>
      <c r="D70" s="7">
        <v>1.915</v>
      </c>
      <c r="E70" s="7">
        <v>1.9450000000000001</v>
      </c>
      <c r="F70" s="13">
        <v>1093.0900000000001</v>
      </c>
      <c r="G70" s="13">
        <v>1093.0900000000001</v>
      </c>
    </row>
    <row r="71" spans="1:7" x14ac:dyDescent="0.2">
      <c r="A71" s="9" t="s">
        <v>194</v>
      </c>
      <c r="B71" s="7">
        <v>1.89</v>
      </c>
      <c r="C71" s="7">
        <v>1.9450000000000001</v>
      </c>
      <c r="D71" s="7">
        <v>1.89</v>
      </c>
      <c r="E71" s="7">
        <v>1.915</v>
      </c>
      <c r="F71" s="13">
        <v>1076.23</v>
      </c>
      <c r="G71" s="13">
        <v>1076.23</v>
      </c>
    </row>
    <row r="72" spans="1:7" x14ac:dyDescent="0.2">
      <c r="A72" s="9" t="s">
        <v>193</v>
      </c>
      <c r="B72" s="7">
        <v>1.9450000000000001</v>
      </c>
      <c r="C72" s="7">
        <v>2.0099999999999998</v>
      </c>
      <c r="D72" s="7">
        <v>1.9419999999999999</v>
      </c>
      <c r="E72" s="7">
        <v>1.9850000000000001</v>
      </c>
      <c r="F72" s="13">
        <v>1115.5700000000002</v>
      </c>
      <c r="G72" s="13">
        <v>1115.5700000000002</v>
      </c>
    </row>
    <row r="73" spans="1:7" x14ac:dyDescent="0.2">
      <c r="A73" s="9" t="s">
        <v>192</v>
      </c>
      <c r="B73" s="7">
        <v>1.9350000000000001</v>
      </c>
      <c r="C73" s="7">
        <v>1.9550000000000001</v>
      </c>
      <c r="D73" s="7">
        <v>1.895</v>
      </c>
      <c r="E73" s="7">
        <v>1.895</v>
      </c>
      <c r="F73" s="13">
        <v>1064.99</v>
      </c>
      <c r="G73" s="13">
        <v>1064.99</v>
      </c>
    </row>
    <row r="74" spans="1:7" x14ac:dyDescent="0.2">
      <c r="A74" s="9" t="s">
        <v>191</v>
      </c>
      <c r="B74" s="7">
        <v>1.87</v>
      </c>
      <c r="C74" s="7">
        <v>1.895</v>
      </c>
      <c r="D74" s="7">
        <v>1.837</v>
      </c>
      <c r="E74" s="7">
        <v>1.845</v>
      </c>
      <c r="F74" s="13">
        <v>1036.8899999999999</v>
      </c>
      <c r="G74" s="13">
        <v>1036.8899999999999</v>
      </c>
    </row>
    <row r="75" spans="1:7" x14ac:dyDescent="0.2">
      <c r="A75" s="9" t="s">
        <v>190</v>
      </c>
      <c r="B75" s="7">
        <v>1.855</v>
      </c>
      <c r="C75" s="7">
        <v>1.895</v>
      </c>
      <c r="D75" s="7">
        <v>1.85</v>
      </c>
      <c r="E75" s="7">
        <v>1.88</v>
      </c>
      <c r="F75" s="13">
        <v>1056.56</v>
      </c>
      <c r="G75" s="13">
        <v>1056.56</v>
      </c>
    </row>
    <row r="76" spans="1:7" x14ac:dyDescent="0.2">
      <c r="A76" s="9" t="s">
        <v>189</v>
      </c>
      <c r="B76" s="7">
        <v>1.87</v>
      </c>
      <c r="C76" s="7">
        <v>1.9</v>
      </c>
      <c r="D76" s="7">
        <v>1.8149999999999999</v>
      </c>
      <c r="E76" s="7">
        <v>1.825</v>
      </c>
      <c r="F76" s="13">
        <v>1025.6499999999999</v>
      </c>
      <c r="G76" s="13">
        <v>1025.6499999999999</v>
      </c>
    </row>
    <row r="77" spans="1:7" x14ac:dyDescent="0.2">
      <c r="A77" s="9" t="s">
        <v>188</v>
      </c>
      <c r="B77" s="7">
        <v>1.81</v>
      </c>
      <c r="C77" s="7">
        <v>1.89</v>
      </c>
      <c r="D77" s="7">
        <v>1.7949999999999999</v>
      </c>
      <c r="E77" s="7">
        <v>1.875</v>
      </c>
      <c r="F77" s="13">
        <v>1053.75</v>
      </c>
      <c r="G77" s="13">
        <v>1053.75</v>
      </c>
    </row>
    <row r="78" spans="1:7" x14ac:dyDescent="0.2">
      <c r="A78" s="9" t="s">
        <v>187</v>
      </c>
      <c r="B78" s="7">
        <v>1.895</v>
      </c>
      <c r="C78" s="7">
        <v>1.905</v>
      </c>
      <c r="D78" s="7">
        <v>1.825</v>
      </c>
      <c r="E78" s="7">
        <v>1.835</v>
      </c>
      <c r="F78" s="13">
        <v>1031.27</v>
      </c>
      <c r="G78" s="13">
        <v>1031.27</v>
      </c>
    </row>
    <row r="79" spans="1:7" x14ac:dyDescent="0.2">
      <c r="A79" s="9" t="s">
        <v>186</v>
      </c>
      <c r="B79" s="7">
        <v>1.77</v>
      </c>
      <c r="C79" s="7">
        <v>1.7849999999999999</v>
      </c>
      <c r="D79" s="7">
        <v>1.72</v>
      </c>
      <c r="E79" s="7">
        <v>1.7450000000000001</v>
      </c>
      <c r="F79" s="13">
        <v>980.69</v>
      </c>
      <c r="G79" s="13">
        <v>980.69</v>
      </c>
    </row>
    <row r="80" spans="1:7" x14ac:dyDescent="0.2">
      <c r="A80" s="9" t="s">
        <v>185</v>
      </c>
      <c r="B80" s="7">
        <v>1.77</v>
      </c>
      <c r="C80" s="7">
        <v>1.792</v>
      </c>
      <c r="D80" s="7">
        <v>1.7549999999999999</v>
      </c>
      <c r="E80" s="7">
        <v>1.7649999999999999</v>
      </c>
      <c r="F80" s="13">
        <v>991.93</v>
      </c>
      <c r="G80" s="13">
        <v>991.93</v>
      </c>
    </row>
    <row r="81" spans="1:7" x14ac:dyDescent="0.2">
      <c r="A81" s="9" t="s">
        <v>184</v>
      </c>
      <c r="B81" s="7">
        <v>1.77</v>
      </c>
      <c r="C81" s="7">
        <v>1.8</v>
      </c>
      <c r="D81" s="7">
        <v>1.74</v>
      </c>
      <c r="E81" s="7">
        <v>1.7549999999999999</v>
      </c>
      <c r="F81" s="13">
        <v>986.31</v>
      </c>
      <c r="G81" s="13">
        <v>986.31</v>
      </c>
    </row>
    <row r="82" spans="1:7" x14ac:dyDescent="0.2">
      <c r="A82" s="9" t="s">
        <v>183</v>
      </c>
      <c r="B82" s="7">
        <v>1.7649999999999999</v>
      </c>
      <c r="C82" s="7">
        <v>1.79</v>
      </c>
      <c r="D82" s="7">
        <v>1.7450000000000001</v>
      </c>
      <c r="E82" s="7">
        <v>1.77</v>
      </c>
      <c r="F82" s="13">
        <v>994.74</v>
      </c>
      <c r="G82" s="13">
        <v>994.74</v>
      </c>
    </row>
    <row r="83" spans="1:7" x14ac:dyDescent="0.2">
      <c r="A83" s="9" t="s">
        <v>182</v>
      </c>
      <c r="B83" s="7">
        <v>1.81</v>
      </c>
      <c r="C83" s="7">
        <v>1.825</v>
      </c>
      <c r="D83" s="7">
        <v>1.76</v>
      </c>
      <c r="E83" s="7">
        <v>1.76</v>
      </c>
      <c r="F83" s="13">
        <v>989.12</v>
      </c>
      <c r="G83" s="13">
        <v>989.12</v>
      </c>
    </row>
    <row r="84" spans="1:7" s="25" customFormat="1" x14ac:dyDescent="0.2">
      <c r="A84" s="22" t="s">
        <v>181</v>
      </c>
      <c r="B84" s="23">
        <v>1.6950000000000001</v>
      </c>
      <c r="C84" s="23">
        <v>1.7050000000000001</v>
      </c>
      <c r="D84" s="23">
        <v>1.665</v>
      </c>
      <c r="E84" s="23">
        <v>1.68</v>
      </c>
      <c r="F84" s="24">
        <v>944.16</v>
      </c>
      <c r="G84" s="24">
        <v>944.16</v>
      </c>
    </row>
    <row r="85" spans="1:7" x14ac:dyDescent="0.2">
      <c r="A85" s="9" t="s">
        <v>180</v>
      </c>
      <c r="B85" s="7">
        <v>1.7</v>
      </c>
      <c r="C85" s="7">
        <v>1.738</v>
      </c>
      <c r="D85" s="7">
        <v>1.7</v>
      </c>
      <c r="E85" s="7">
        <v>1.7</v>
      </c>
      <c r="F85" s="13">
        <v>955.4</v>
      </c>
      <c r="G85" s="13">
        <v>955.4</v>
      </c>
    </row>
    <row r="86" spans="1:7" x14ac:dyDescent="0.2">
      <c r="A86" s="9" t="s">
        <v>179</v>
      </c>
      <c r="B86" s="7">
        <v>1.7050000000000001</v>
      </c>
      <c r="C86" s="7">
        <v>1.7150000000000001</v>
      </c>
      <c r="D86" s="7">
        <v>1.67</v>
      </c>
      <c r="E86" s="7">
        <v>1.7</v>
      </c>
      <c r="F86" s="13">
        <v>955.4</v>
      </c>
      <c r="G86" s="13">
        <v>955.4</v>
      </c>
    </row>
    <row r="87" spans="1:7" x14ac:dyDescent="0.2">
      <c r="A87" s="9" t="s">
        <v>178</v>
      </c>
      <c r="B87" s="7">
        <v>1.7</v>
      </c>
      <c r="C87" s="7">
        <v>1.74</v>
      </c>
      <c r="D87" s="7">
        <v>1.7</v>
      </c>
      <c r="E87" s="7">
        <v>1.71</v>
      </c>
      <c r="F87" s="13">
        <v>961.02</v>
      </c>
      <c r="G87" s="13">
        <v>961.02</v>
      </c>
    </row>
    <row r="88" spans="1:7" x14ac:dyDescent="0.2">
      <c r="A88" s="9" t="s">
        <v>177</v>
      </c>
      <c r="B88" s="7">
        <v>1.7450000000000001</v>
      </c>
      <c r="C88" s="7">
        <v>1.7949999999999999</v>
      </c>
      <c r="D88" s="7">
        <v>1.7350000000000001</v>
      </c>
      <c r="E88" s="7">
        <v>1.79</v>
      </c>
      <c r="F88" s="13">
        <v>1005.98</v>
      </c>
      <c r="G88" s="13">
        <v>1005.98</v>
      </c>
    </row>
    <row r="89" spans="1:7" x14ac:dyDescent="0.2">
      <c r="A89" s="9" t="s">
        <v>176</v>
      </c>
      <c r="B89" s="7">
        <v>1.7949999999999999</v>
      </c>
      <c r="C89" s="7">
        <v>1.8049999999999999</v>
      </c>
      <c r="D89" s="7">
        <v>1.78</v>
      </c>
      <c r="E89" s="7">
        <v>1.7949999999999999</v>
      </c>
      <c r="F89" s="13">
        <v>1008.79</v>
      </c>
      <c r="G89" s="13">
        <v>1008.79</v>
      </c>
    </row>
    <row r="90" spans="1:7" x14ac:dyDescent="0.2">
      <c r="A90" s="9" t="s">
        <v>175</v>
      </c>
      <c r="B90" s="7">
        <v>1.7849999999999999</v>
      </c>
      <c r="C90" s="7">
        <v>1.79</v>
      </c>
      <c r="D90" s="7">
        <v>1.7549999999999999</v>
      </c>
      <c r="E90" s="7">
        <v>1.77</v>
      </c>
      <c r="F90" s="13">
        <v>994.74</v>
      </c>
      <c r="G90" s="13">
        <v>994.74</v>
      </c>
    </row>
    <row r="91" spans="1:7" x14ac:dyDescent="0.2">
      <c r="A91" s="9" t="s">
        <v>174</v>
      </c>
      <c r="B91" s="7">
        <v>1.82</v>
      </c>
      <c r="C91" s="7">
        <v>1.83</v>
      </c>
      <c r="D91" s="7">
        <v>1.7949999999999999</v>
      </c>
      <c r="E91" s="7">
        <v>1.8149999999999999</v>
      </c>
      <c r="F91" s="13">
        <v>1020.03</v>
      </c>
      <c r="G91" s="13">
        <v>1020.03</v>
      </c>
    </row>
    <row r="92" spans="1:7" x14ac:dyDescent="0.2">
      <c r="A92" s="9" t="s">
        <v>173</v>
      </c>
      <c r="B92" s="7">
        <v>1.82</v>
      </c>
      <c r="C92" s="7">
        <v>1.83</v>
      </c>
      <c r="D92" s="7">
        <v>1.7949999999999999</v>
      </c>
      <c r="E92" s="7">
        <v>1.825</v>
      </c>
      <c r="F92" s="13">
        <v>1025.6499999999999</v>
      </c>
      <c r="G92" s="13">
        <v>1025.6499999999999</v>
      </c>
    </row>
    <row r="93" spans="1:7" x14ac:dyDescent="0.2">
      <c r="A93" s="9" t="s">
        <v>172</v>
      </c>
      <c r="B93" s="7">
        <v>1.82</v>
      </c>
      <c r="C93" s="7">
        <v>1.855</v>
      </c>
      <c r="D93" s="7">
        <v>1.78</v>
      </c>
      <c r="E93" s="7">
        <v>1.845</v>
      </c>
      <c r="F93" s="13">
        <v>1036.8899999999999</v>
      </c>
      <c r="G93" s="13">
        <v>1036.8899999999999</v>
      </c>
    </row>
    <row r="94" spans="1:7" x14ac:dyDescent="0.2">
      <c r="A94" s="9" t="s">
        <v>171</v>
      </c>
      <c r="B94" s="7">
        <v>1.87</v>
      </c>
      <c r="C94" s="7">
        <v>1.87</v>
      </c>
      <c r="D94" s="7">
        <v>1.8149999999999999</v>
      </c>
      <c r="E94" s="7">
        <v>1.8149999999999999</v>
      </c>
      <c r="F94" s="13">
        <v>1020.03</v>
      </c>
      <c r="G94" s="13">
        <v>1020.03</v>
      </c>
    </row>
    <row r="95" spans="1:7" x14ac:dyDescent="0.2">
      <c r="A95" s="9" t="s">
        <v>170</v>
      </c>
      <c r="B95" s="7">
        <v>1.85</v>
      </c>
      <c r="C95" s="7">
        <v>1.89</v>
      </c>
      <c r="D95" s="7">
        <v>1.845</v>
      </c>
      <c r="E95" s="7">
        <v>1.875</v>
      </c>
      <c r="F95" s="13">
        <v>1053.75</v>
      </c>
      <c r="G95" s="13">
        <v>1053.75</v>
      </c>
    </row>
    <row r="96" spans="1:7" x14ac:dyDescent="0.2">
      <c r="A96" s="9" t="s">
        <v>169</v>
      </c>
      <c r="B96" s="7">
        <v>1.855</v>
      </c>
      <c r="C96" s="7">
        <v>1.875</v>
      </c>
      <c r="D96" s="7">
        <v>1.84</v>
      </c>
      <c r="E96" s="7">
        <v>1.87</v>
      </c>
      <c r="F96" s="13">
        <v>1050.94</v>
      </c>
      <c r="G96" s="13">
        <v>1050.94</v>
      </c>
    </row>
    <row r="97" spans="1:7" x14ac:dyDescent="0.2">
      <c r="A97" s="9" t="s">
        <v>168</v>
      </c>
      <c r="B97" s="7">
        <v>1.9</v>
      </c>
      <c r="C97" s="7">
        <v>1.94</v>
      </c>
      <c r="D97" s="7">
        <v>1.9</v>
      </c>
      <c r="E97" s="7">
        <v>1.915</v>
      </c>
      <c r="F97" s="13">
        <v>1076.23</v>
      </c>
      <c r="G97" s="13">
        <v>1076.23</v>
      </c>
    </row>
    <row r="98" spans="1:7" x14ac:dyDescent="0.2">
      <c r="A98" s="9" t="s">
        <v>167</v>
      </c>
      <c r="B98" s="7">
        <v>1.915</v>
      </c>
      <c r="C98" s="7">
        <v>1.94</v>
      </c>
      <c r="D98" s="7">
        <v>1.915</v>
      </c>
      <c r="E98" s="7">
        <v>1.92</v>
      </c>
      <c r="F98" s="13">
        <v>1079.04</v>
      </c>
      <c r="G98" s="13">
        <v>1079.04</v>
      </c>
    </row>
    <row r="99" spans="1:7" x14ac:dyDescent="0.2">
      <c r="A99" s="9" t="s">
        <v>166</v>
      </c>
      <c r="B99" s="7">
        <v>1.92</v>
      </c>
      <c r="C99" s="7">
        <v>1.925</v>
      </c>
      <c r="D99" s="7">
        <v>1.883</v>
      </c>
      <c r="E99" s="7">
        <v>1.89</v>
      </c>
      <c r="F99" s="13">
        <v>1062.1799999999998</v>
      </c>
      <c r="G99" s="13">
        <v>1062.1799999999998</v>
      </c>
    </row>
    <row r="100" spans="1:7" x14ac:dyDescent="0.2">
      <c r="A100" s="9" t="s">
        <v>165</v>
      </c>
      <c r="B100" s="7">
        <v>1.845</v>
      </c>
      <c r="C100" s="7">
        <v>1.845</v>
      </c>
      <c r="D100" s="7">
        <v>1.79</v>
      </c>
      <c r="E100" s="7">
        <v>1.79</v>
      </c>
      <c r="F100" s="13">
        <v>1005.98</v>
      </c>
      <c r="G100" s="13">
        <v>1005.98</v>
      </c>
    </row>
    <row r="101" spans="1:7" x14ac:dyDescent="0.2">
      <c r="A101" s="9" t="s">
        <v>164</v>
      </c>
      <c r="B101" s="7">
        <v>1.77</v>
      </c>
      <c r="C101" s="7">
        <v>1.79</v>
      </c>
      <c r="D101" s="7">
        <v>1.7549999999999999</v>
      </c>
      <c r="E101" s="7">
        <v>1.78</v>
      </c>
      <c r="F101" s="13">
        <v>1000.36</v>
      </c>
      <c r="G101" s="13">
        <v>1000.36</v>
      </c>
    </row>
    <row r="102" spans="1:7" x14ac:dyDescent="0.2">
      <c r="A102" s="9" t="s">
        <v>163</v>
      </c>
      <c r="B102" s="7">
        <v>1.8</v>
      </c>
      <c r="C102" s="7">
        <v>1.855</v>
      </c>
      <c r="D102" s="7">
        <v>1.7949999999999999</v>
      </c>
      <c r="E102" s="7">
        <v>1.855</v>
      </c>
      <c r="F102" s="13">
        <v>1042.51</v>
      </c>
      <c r="G102" s="13">
        <v>1042.51</v>
      </c>
    </row>
    <row r="103" spans="1:7" x14ac:dyDescent="0.2">
      <c r="A103" s="9" t="s">
        <v>162</v>
      </c>
      <c r="B103" s="7">
        <v>1.88</v>
      </c>
      <c r="C103" s="7">
        <v>1.88</v>
      </c>
      <c r="D103" s="7">
        <v>1.835</v>
      </c>
      <c r="E103" s="7">
        <v>1.85</v>
      </c>
      <c r="F103" s="13">
        <v>1039.7</v>
      </c>
      <c r="G103" s="13">
        <v>1039.7</v>
      </c>
    </row>
    <row r="104" spans="1:7" x14ac:dyDescent="0.2">
      <c r="A104" s="9" t="s">
        <v>161</v>
      </c>
      <c r="B104" s="7">
        <v>1.84</v>
      </c>
      <c r="C104" s="7">
        <v>1.9450000000000001</v>
      </c>
      <c r="D104" s="7">
        <v>1.84</v>
      </c>
      <c r="E104" s="7">
        <v>1.91</v>
      </c>
      <c r="F104" s="13">
        <v>1073.4199999999998</v>
      </c>
      <c r="G104" s="13">
        <v>1073.4199999999998</v>
      </c>
    </row>
    <row r="105" spans="1:7" x14ac:dyDescent="0.2">
      <c r="A105" s="9" t="s">
        <v>160</v>
      </c>
      <c r="B105" s="7">
        <v>1.9</v>
      </c>
      <c r="C105" s="7">
        <v>1.915</v>
      </c>
      <c r="D105" s="7">
        <v>1.75</v>
      </c>
      <c r="E105" s="7">
        <v>1.8</v>
      </c>
      <c r="F105" s="13">
        <v>1011.6</v>
      </c>
      <c r="G105" s="13">
        <v>1011.6</v>
      </c>
    </row>
    <row r="106" spans="1:7" x14ac:dyDescent="0.2">
      <c r="A106" s="9" t="s">
        <v>159</v>
      </c>
      <c r="B106" s="7">
        <v>1.82</v>
      </c>
      <c r="C106" s="7">
        <v>1.875</v>
      </c>
      <c r="D106" s="7">
        <v>1.8</v>
      </c>
      <c r="E106" s="7">
        <v>1.875</v>
      </c>
      <c r="F106" s="13">
        <v>1053.75</v>
      </c>
      <c r="G106" s="13">
        <v>1053.75</v>
      </c>
    </row>
    <row r="107" spans="1:7" x14ac:dyDescent="0.2">
      <c r="A107" s="9" t="s">
        <v>158</v>
      </c>
      <c r="B107" s="7">
        <v>1.85</v>
      </c>
      <c r="C107" s="7">
        <v>1.88</v>
      </c>
      <c r="D107" s="7">
        <v>1.8149999999999999</v>
      </c>
      <c r="E107" s="7">
        <v>1.8149999999999999</v>
      </c>
      <c r="F107" s="13">
        <v>1020.03</v>
      </c>
      <c r="G107" s="13">
        <v>1020.03</v>
      </c>
    </row>
    <row r="108" spans="1:7" x14ac:dyDescent="0.2">
      <c r="A108" s="9" t="s">
        <v>157</v>
      </c>
      <c r="B108" s="7">
        <v>1.84</v>
      </c>
      <c r="C108" s="7">
        <v>1.867</v>
      </c>
      <c r="D108" s="7">
        <v>1.8169999999999999</v>
      </c>
      <c r="E108" s="7">
        <v>1.82</v>
      </c>
      <c r="F108" s="13">
        <v>1022.84</v>
      </c>
      <c r="G108" s="13">
        <v>1022.84</v>
      </c>
    </row>
    <row r="109" spans="1:7" x14ac:dyDescent="0.2">
      <c r="A109" s="9" t="s">
        <v>156</v>
      </c>
      <c r="B109" s="7">
        <v>1.825</v>
      </c>
      <c r="C109" s="7">
        <v>1.835</v>
      </c>
      <c r="D109" s="7">
        <v>1.7749999999999999</v>
      </c>
      <c r="E109" s="7">
        <v>1.83</v>
      </c>
      <c r="F109" s="13">
        <v>1028.46</v>
      </c>
      <c r="G109" s="13">
        <v>1028.46</v>
      </c>
    </row>
    <row r="110" spans="1:7" x14ac:dyDescent="0.2">
      <c r="A110" s="9" t="s">
        <v>155</v>
      </c>
      <c r="B110" s="7">
        <v>1.885</v>
      </c>
      <c r="C110" s="7">
        <v>1.96</v>
      </c>
      <c r="D110" s="7">
        <v>1.86</v>
      </c>
      <c r="E110" s="7">
        <v>1.92</v>
      </c>
      <c r="F110" s="13">
        <v>1079.04</v>
      </c>
      <c r="G110" s="13">
        <v>1079.04</v>
      </c>
    </row>
    <row r="111" spans="1:7" s="25" customFormat="1" x14ac:dyDescent="0.2">
      <c r="A111" s="22" t="s">
        <v>154</v>
      </c>
      <c r="B111" s="23">
        <v>1.9650000000000001</v>
      </c>
      <c r="C111" s="23">
        <v>2</v>
      </c>
      <c r="D111" s="23">
        <v>1.96</v>
      </c>
      <c r="E111" s="23">
        <v>1.99</v>
      </c>
      <c r="F111" s="24">
        <v>1118.3799999999999</v>
      </c>
      <c r="G111" s="24">
        <v>1118.3799999999999</v>
      </c>
    </row>
    <row r="112" spans="1:7" x14ac:dyDescent="0.2">
      <c r="A112" s="9" t="s">
        <v>153</v>
      </c>
      <c r="B112" s="7">
        <v>1.87</v>
      </c>
      <c r="C112" s="7">
        <v>1.88</v>
      </c>
      <c r="D112" s="7">
        <v>1.802</v>
      </c>
      <c r="E112" s="7">
        <v>1.8149999999999999</v>
      </c>
      <c r="F112" s="13">
        <v>1020.03</v>
      </c>
      <c r="G112" s="13">
        <v>1020.03</v>
      </c>
    </row>
    <row r="113" spans="1:7" x14ac:dyDescent="0.2">
      <c r="A113" s="9" t="s">
        <v>152</v>
      </c>
      <c r="B113" s="7">
        <v>1.85</v>
      </c>
      <c r="C113" s="7">
        <v>1.85</v>
      </c>
      <c r="D113" s="7">
        <v>1.78</v>
      </c>
      <c r="E113" s="7">
        <v>1.7949999999999999</v>
      </c>
      <c r="F113" s="13">
        <v>1008.79</v>
      </c>
      <c r="G113" s="13">
        <v>1008.79</v>
      </c>
    </row>
    <row r="114" spans="1:7" x14ac:dyDescent="0.2">
      <c r="A114" s="9" t="s">
        <v>151</v>
      </c>
      <c r="B114" s="7">
        <v>1.825</v>
      </c>
      <c r="C114" s="7">
        <v>1.835</v>
      </c>
      <c r="D114" s="7">
        <v>1.77</v>
      </c>
      <c r="E114" s="7">
        <v>1.78</v>
      </c>
      <c r="F114" s="13">
        <v>1000.36</v>
      </c>
      <c r="G114" s="13">
        <v>1000.36</v>
      </c>
    </row>
    <row r="115" spans="1:7" x14ac:dyDescent="0.2">
      <c r="A115" s="9" t="s">
        <v>150</v>
      </c>
      <c r="B115" s="7">
        <v>1.7649999999999999</v>
      </c>
      <c r="C115" s="7">
        <v>1.77</v>
      </c>
      <c r="D115" s="7">
        <v>1.7150000000000001</v>
      </c>
      <c r="E115" s="7">
        <v>1.7250000000000001</v>
      </c>
      <c r="F115" s="13">
        <v>969.45</v>
      </c>
      <c r="G115" s="13">
        <v>969.45</v>
      </c>
    </row>
    <row r="116" spans="1:7" x14ac:dyDescent="0.2">
      <c r="A116" s="9" t="s">
        <v>149</v>
      </c>
      <c r="B116" s="7">
        <v>1.74</v>
      </c>
      <c r="C116" s="7">
        <v>1.778</v>
      </c>
      <c r="D116" s="7">
        <v>1.73</v>
      </c>
      <c r="E116" s="7">
        <v>1.7649999999999999</v>
      </c>
      <c r="F116" s="13">
        <v>991.93</v>
      </c>
      <c r="G116" s="13">
        <v>991.93</v>
      </c>
    </row>
    <row r="117" spans="1:7" x14ac:dyDescent="0.2">
      <c r="A117" s="9" t="s">
        <v>148</v>
      </c>
      <c r="B117" s="7">
        <v>1.78</v>
      </c>
      <c r="C117" s="7">
        <v>1.8</v>
      </c>
      <c r="D117" s="7">
        <v>1.75</v>
      </c>
      <c r="E117" s="7">
        <v>1.7649999999999999</v>
      </c>
      <c r="F117" s="13">
        <v>991.93</v>
      </c>
      <c r="G117" s="13">
        <v>991.93</v>
      </c>
    </row>
    <row r="118" spans="1:7" x14ac:dyDescent="0.2">
      <c r="A118" s="9" t="s">
        <v>147</v>
      </c>
      <c r="B118" s="7">
        <v>1.8049999999999999</v>
      </c>
      <c r="C118" s="7">
        <v>1.825</v>
      </c>
      <c r="D118" s="7">
        <v>1.78</v>
      </c>
      <c r="E118" s="7">
        <v>1.81</v>
      </c>
      <c r="F118" s="13">
        <v>1017.22</v>
      </c>
      <c r="G118" s="13">
        <v>1017.22</v>
      </c>
    </row>
    <row r="119" spans="1:7" x14ac:dyDescent="0.2">
      <c r="A119" s="9" t="s">
        <v>146</v>
      </c>
      <c r="B119" s="7">
        <v>1.81</v>
      </c>
      <c r="C119" s="7">
        <v>1.82</v>
      </c>
      <c r="D119" s="7">
        <v>1.7949999999999999</v>
      </c>
      <c r="E119" s="7">
        <v>1.81</v>
      </c>
      <c r="F119" s="13">
        <v>1017.22</v>
      </c>
      <c r="G119" s="13">
        <v>1017.22</v>
      </c>
    </row>
    <row r="120" spans="1:7" x14ac:dyDescent="0.2">
      <c r="A120" s="9" t="s">
        <v>145</v>
      </c>
      <c r="B120" s="7">
        <v>1.875</v>
      </c>
      <c r="C120" s="7">
        <v>1.89</v>
      </c>
      <c r="D120" s="7">
        <v>1.843</v>
      </c>
      <c r="E120" s="7">
        <v>1.89</v>
      </c>
      <c r="F120" s="13">
        <v>1062.1799999999998</v>
      </c>
      <c r="G120" s="13">
        <v>1062.1799999999998</v>
      </c>
    </row>
    <row r="121" spans="1:7" x14ac:dyDescent="0.2">
      <c r="A121" s="9" t="s">
        <v>144</v>
      </c>
      <c r="B121" s="7">
        <v>1.845</v>
      </c>
      <c r="C121" s="7">
        <v>1.855</v>
      </c>
      <c r="D121" s="7">
        <v>1.82</v>
      </c>
      <c r="E121" s="7">
        <v>1.83</v>
      </c>
      <c r="F121" s="13">
        <v>1028.46</v>
      </c>
      <c r="G121" s="13">
        <v>1028.46</v>
      </c>
    </row>
    <row r="122" spans="1:7" x14ac:dyDescent="0.2">
      <c r="A122" s="9" t="s">
        <v>143</v>
      </c>
      <c r="B122" s="7">
        <v>1.855</v>
      </c>
      <c r="C122" s="7">
        <v>1.855</v>
      </c>
      <c r="D122" s="7">
        <v>1.8049999999999999</v>
      </c>
      <c r="E122" s="7">
        <v>1.83</v>
      </c>
      <c r="F122" s="13">
        <v>1028.46</v>
      </c>
      <c r="G122" s="13">
        <v>1028.46</v>
      </c>
    </row>
    <row r="123" spans="1:7" x14ac:dyDescent="0.2">
      <c r="A123" s="9" t="s">
        <v>142</v>
      </c>
      <c r="B123" s="7">
        <v>1.8049999999999999</v>
      </c>
      <c r="C123" s="7">
        <v>1.8120000000000001</v>
      </c>
      <c r="D123" s="7">
        <v>1.742</v>
      </c>
      <c r="E123" s="7">
        <v>1.75</v>
      </c>
      <c r="F123" s="13">
        <v>983.5</v>
      </c>
      <c r="G123" s="13">
        <v>983.5</v>
      </c>
    </row>
    <row r="124" spans="1:7" s="29" customFormat="1" x14ac:dyDescent="0.2">
      <c r="A124" s="26" t="s">
        <v>141</v>
      </c>
      <c r="B124" s="27">
        <v>1.7250000000000001</v>
      </c>
      <c r="C124" s="27">
        <v>1.73</v>
      </c>
      <c r="D124" s="27">
        <v>1.68</v>
      </c>
      <c r="E124" s="27">
        <v>1.73</v>
      </c>
      <c r="F124" s="28">
        <v>972.26</v>
      </c>
      <c r="G124" s="28">
        <v>972.26</v>
      </c>
    </row>
    <row r="125" spans="1:7" x14ac:dyDescent="0.2">
      <c r="A125" s="9" t="s">
        <v>140</v>
      </c>
      <c r="B125" s="7">
        <v>1.74</v>
      </c>
      <c r="C125" s="7">
        <v>1.7749999999999999</v>
      </c>
      <c r="D125" s="7">
        <v>1.722</v>
      </c>
      <c r="E125" s="7">
        <v>1.7549999999999999</v>
      </c>
      <c r="F125" s="13">
        <v>986.31</v>
      </c>
      <c r="G125" s="13">
        <v>986.31</v>
      </c>
    </row>
    <row r="126" spans="1:7" x14ac:dyDescent="0.2">
      <c r="A126" s="9" t="s">
        <v>139</v>
      </c>
      <c r="B126" s="7">
        <v>1.74</v>
      </c>
      <c r="C126" s="7">
        <v>1.7749999999999999</v>
      </c>
      <c r="D126" s="7">
        <v>1.72</v>
      </c>
      <c r="E126" s="7">
        <v>1.7649999999999999</v>
      </c>
      <c r="F126" s="13">
        <v>991.93</v>
      </c>
      <c r="G126" s="13">
        <v>991.93</v>
      </c>
    </row>
    <row r="127" spans="1:7" x14ac:dyDescent="0.2">
      <c r="A127" s="9" t="s">
        <v>138</v>
      </c>
      <c r="B127" s="7">
        <v>1.7549999999999999</v>
      </c>
      <c r="C127" s="7">
        <v>1.7949999999999999</v>
      </c>
      <c r="D127" s="7">
        <v>1.75</v>
      </c>
      <c r="E127" s="7">
        <v>1.76</v>
      </c>
      <c r="F127" s="13">
        <v>989.12</v>
      </c>
      <c r="G127" s="13">
        <v>989.12</v>
      </c>
    </row>
    <row r="128" spans="1:7" x14ac:dyDescent="0.2">
      <c r="A128" s="9" t="s">
        <v>137</v>
      </c>
      <c r="B128" s="7">
        <v>1.77</v>
      </c>
      <c r="C128" s="7">
        <v>1.8049999999999999</v>
      </c>
      <c r="D128" s="7">
        <v>1.7549999999999999</v>
      </c>
      <c r="E128" s="7">
        <v>1.7949999999999999</v>
      </c>
      <c r="F128" s="13">
        <v>1008.79</v>
      </c>
      <c r="G128" s="13">
        <v>1008.79</v>
      </c>
    </row>
    <row r="129" spans="1:7" x14ac:dyDescent="0.2">
      <c r="A129" s="9" t="s">
        <v>136</v>
      </c>
      <c r="B129" s="7">
        <v>1.84</v>
      </c>
      <c r="C129" s="7">
        <v>1.875</v>
      </c>
      <c r="D129" s="7">
        <v>1.827</v>
      </c>
      <c r="E129" s="7">
        <v>1.865</v>
      </c>
      <c r="F129" s="13">
        <v>1048.1299999999999</v>
      </c>
      <c r="G129" s="13">
        <v>1048.1299999999999</v>
      </c>
    </row>
    <row r="130" spans="1:7" x14ac:dyDescent="0.2">
      <c r="A130" s="9" t="s">
        <v>135</v>
      </c>
      <c r="B130" s="7">
        <v>1.865</v>
      </c>
      <c r="C130" s="7">
        <v>1.9</v>
      </c>
      <c r="D130" s="7">
        <v>1.845</v>
      </c>
      <c r="E130" s="7">
        <v>1.895</v>
      </c>
      <c r="F130" s="13">
        <v>1064.99</v>
      </c>
      <c r="G130" s="13">
        <v>1064.99</v>
      </c>
    </row>
    <row r="131" spans="1:7" x14ac:dyDescent="0.2">
      <c r="A131" s="9" t="s">
        <v>134</v>
      </c>
      <c r="B131" s="7">
        <v>1.925</v>
      </c>
      <c r="C131" s="7">
        <v>1.93</v>
      </c>
      <c r="D131" s="7">
        <v>1.875</v>
      </c>
      <c r="E131" s="7">
        <v>1.88</v>
      </c>
      <c r="F131" s="13">
        <v>1056.56</v>
      </c>
      <c r="G131" s="13">
        <v>1056.56</v>
      </c>
    </row>
    <row r="132" spans="1:7" x14ac:dyDescent="0.2">
      <c r="A132" s="9" t="s">
        <v>133</v>
      </c>
      <c r="B132" s="7">
        <v>1.87</v>
      </c>
      <c r="C132" s="7">
        <v>1.895</v>
      </c>
      <c r="D132" s="7">
        <v>1.855</v>
      </c>
      <c r="E132" s="7">
        <v>1.895</v>
      </c>
      <c r="F132" s="13">
        <v>1064.99</v>
      </c>
      <c r="G132" s="13">
        <v>1064.99</v>
      </c>
    </row>
    <row r="133" spans="1:7" x14ac:dyDescent="0.2">
      <c r="A133" s="9" t="s">
        <v>132</v>
      </c>
      <c r="B133" s="7">
        <v>1.885</v>
      </c>
      <c r="C133" s="7">
        <v>1.903</v>
      </c>
      <c r="D133" s="7">
        <v>1.857</v>
      </c>
      <c r="E133" s="7">
        <v>1.88</v>
      </c>
      <c r="F133" s="13">
        <v>1056.56</v>
      </c>
      <c r="G133" s="13">
        <v>1056.56</v>
      </c>
    </row>
    <row r="134" spans="1:7" x14ac:dyDescent="0.2">
      <c r="A134" s="9" t="s">
        <v>131</v>
      </c>
      <c r="B134" s="7">
        <v>1.91</v>
      </c>
      <c r="C134" s="7">
        <v>1.97</v>
      </c>
      <c r="D134" s="7">
        <v>1.89</v>
      </c>
      <c r="E134" s="7">
        <v>1.9550000000000001</v>
      </c>
      <c r="F134" s="13">
        <v>1098.71</v>
      </c>
      <c r="G134" s="13">
        <v>1098.71</v>
      </c>
    </row>
    <row r="135" spans="1:7" x14ac:dyDescent="0.2">
      <c r="A135" s="9" t="s">
        <v>130</v>
      </c>
      <c r="B135" s="7">
        <v>1.99</v>
      </c>
      <c r="C135" s="7">
        <v>2.0699999999999998</v>
      </c>
      <c r="D135" s="7">
        <v>1.96</v>
      </c>
      <c r="E135" s="7">
        <v>2.0699999999999998</v>
      </c>
      <c r="F135" s="13">
        <v>1163.3399999999999</v>
      </c>
      <c r="G135" s="13">
        <v>1163.3399999999999</v>
      </c>
    </row>
    <row r="136" spans="1:7" x14ac:dyDescent="0.2">
      <c r="A136" s="9" t="s">
        <v>129</v>
      </c>
      <c r="B136" s="7">
        <v>2.09</v>
      </c>
      <c r="C136" s="7">
        <v>2.13</v>
      </c>
      <c r="D136" s="7">
        <v>2.0449999999999999</v>
      </c>
      <c r="E136" s="7">
        <v>2.12</v>
      </c>
      <c r="F136" s="13">
        <v>1191.44</v>
      </c>
      <c r="G136" s="13">
        <v>1191.44</v>
      </c>
    </row>
    <row r="137" spans="1:7" s="29" customFormat="1" x14ac:dyDescent="0.2">
      <c r="A137" s="26" t="s">
        <v>128</v>
      </c>
      <c r="B137" s="27">
        <v>2.15</v>
      </c>
      <c r="C137" s="27">
        <v>2.1749999999999998</v>
      </c>
      <c r="D137" s="27">
        <v>2.13</v>
      </c>
      <c r="E137" s="27">
        <v>2.15</v>
      </c>
      <c r="F137" s="28">
        <v>1208.3</v>
      </c>
      <c r="G137" s="28">
        <v>1208.3</v>
      </c>
    </row>
    <row r="138" spans="1:7" x14ac:dyDescent="0.2">
      <c r="A138" s="9" t="s">
        <v>127</v>
      </c>
      <c r="B138" s="7">
        <v>2.19</v>
      </c>
      <c r="C138" s="7">
        <v>2.2400000000000002</v>
      </c>
      <c r="D138" s="7">
        <v>2.15</v>
      </c>
      <c r="E138" s="7">
        <v>2.16</v>
      </c>
      <c r="F138" s="13">
        <v>1213.92</v>
      </c>
      <c r="G138" s="13">
        <v>1213.92</v>
      </c>
    </row>
    <row r="139" spans="1:7" x14ac:dyDescent="0.2">
      <c r="A139" s="9" t="s">
        <v>126</v>
      </c>
      <c r="B139" s="7">
        <v>2.14</v>
      </c>
      <c r="C139" s="7">
        <v>2.17</v>
      </c>
      <c r="D139" s="7">
        <v>2.09</v>
      </c>
      <c r="E139" s="7">
        <v>2.15</v>
      </c>
      <c r="F139" s="13">
        <v>1208.3</v>
      </c>
      <c r="G139" s="13">
        <v>1208.3</v>
      </c>
    </row>
    <row r="140" spans="1:7" x14ac:dyDescent="0.2">
      <c r="A140" s="9" t="s">
        <v>125</v>
      </c>
      <c r="B140" s="7">
        <v>2.09</v>
      </c>
      <c r="C140" s="7">
        <v>2.16</v>
      </c>
      <c r="D140" s="7">
        <v>2.0499999999999998</v>
      </c>
      <c r="E140" s="7">
        <v>2.15</v>
      </c>
      <c r="F140" s="13">
        <v>1208.3</v>
      </c>
      <c r="G140" s="13">
        <v>1208.3</v>
      </c>
    </row>
    <row r="141" spans="1:7" x14ac:dyDescent="0.2">
      <c r="A141" s="9" t="s">
        <v>124</v>
      </c>
      <c r="B141" s="7">
        <v>2.15</v>
      </c>
      <c r="C141" s="7">
        <v>2.19</v>
      </c>
      <c r="D141" s="7">
        <v>2.15</v>
      </c>
      <c r="E141" s="7">
        <v>2.17</v>
      </c>
      <c r="F141" s="13">
        <v>1219.54</v>
      </c>
      <c r="G141" s="13">
        <v>1219.54</v>
      </c>
    </row>
    <row r="142" spans="1:7" x14ac:dyDescent="0.2">
      <c r="A142" s="9" t="s">
        <v>123</v>
      </c>
      <c r="B142" s="7">
        <v>2.19</v>
      </c>
      <c r="C142" s="7">
        <v>2.2050000000000001</v>
      </c>
      <c r="D142" s="7">
        <v>2.12</v>
      </c>
      <c r="E142" s="7">
        <v>2.12</v>
      </c>
      <c r="F142" s="13">
        <v>1191.44</v>
      </c>
      <c r="G142" s="13">
        <v>1191.44</v>
      </c>
    </row>
    <row r="143" spans="1:7" x14ac:dyDescent="0.2">
      <c r="A143" s="9" t="s">
        <v>122</v>
      </c>
      <c r="B143" s="7">
        <v>2.13</v>
      </c>
      <c r="C143" s="7">
        <v>2.1949999999999998</v>
      </c>
      <c r="D143" s="7">
        <v>2.1</v>
      </c>
      <c r="E143" s="7">
        <v>2.17</v>
      </c>
      <c r="F143" s="13">
        <v>1219.54</v>
      </c>
      <c r="G143" s="13">
        <v>1219.54</v>
      </c>
    </row>
    <row r="144" spans="1:7" x14ac:dyDescent="0.2">
      <c r="A144" s="9" t="s">
        <v>121</v>
      </c>
      <c r="B144" s="7">
        <v>2.11</v>
      </c>
      <c r="C144" s="7">
        <v>2.17</v>
      </c>
      <c r="D144" s="7">
        <v>2.09</v>
      </c>
      <c r="E144" s="7">
        <v>2.12</v>
      </c>
      <c r="F144" s="13">
        <v>1191.44</v>
      </c>
      <c r="G144" s="13">
        <v>1191.44</v>
      </c>
    </row>
    <row r="145" spans="1:7" x14ac:dyDescent="0.2">
      <c r="A145" s="9" t="s">
        <v>120</v>
      </c>
      <c r="B145" s="7">
        <v>2.12</v>
      </c>
      <c r="C145" s="7">
        <v>2.14</v>
      </c>
      <c r="D145" s="7">
        <v>2.0299999999999998</v>
      </c>
      <c r="E145" s="7">
        <v>2.0699999999999998</v>
      </c>
      <c r="F145" s="13">
        <v>1163.3399999999999</v>
      </c>
      <c r="G145" s="13">
        <v>1163.3399999999999</v>
      </c>
    </row>
    <row r="146" spans="1:7" x14ac:dyDescent="0.2">
      <c r="A146" s="9" t="s">
        <v>119</v>
      </c>
      <c r="B146" s="7">
        <v>2.11</v>
      </c>
      <c r="C146" s="7">
        <v>2.11</v>
      </c>
      <c r="D146" s="7">
        <v>2.0499999999999998</v>
      </c>
      <c r="E146" s="7">
        <v>2.06</v>
      </c>
      <c r="F146" s="13">
        <v>1157.72</v>
      </c>
      <c r="G146" s="13">
        <v>1157.72</v>
      </c>
    </row>
    <row r="147" spans="1:7" x14ac:dyDescent="0.2">
      <c r="A147" s="9" t="s">
        <v>118</v>
      </c>
      <c r="B147" s="7">
        <v>2.0299999999999998</v>
      </c>
      <c r="C147" s="7">
        <v>2.0499999999999998</v>
      </c>
      <c r="D147" s="7">
        <v>2</v>
      </c>
      <c r="E147" s="7">
        <v>2.02</v>
      </c>
      <c r="F147" s="13">
        <v>1135.24</v>
      </c>
      <c r="G147" s="13">
        <v>1135.24</v>
      </c>
    </row>
    <row r="148" spans="1:7" x14ac:dyDescent="0.2">
      <c r="A148" s="9" t="s">
        <v>117</v>
      </c>
      <c r="B148" s="7">
        <v>2.06</v>
      </c>
      <c r="C148" s="7">
        <v>2.11</v>
      </c>
      <c r="D148" s="7">
        <v>2.0299999999999998</v>
      </c>
      <c r="E148" s="7">
        <v>2.09</v>
      </c>
      <c r="F148" s="13">
        <v>1174.58</v>
      </c>
      <c r="G148" s="13">
        <v>1174.58</v>
      </c>
    </row>
    <row r="149" spans="1:7" x14ac:dyDescent="0.2">
      <c r="A149" s="9" t="s">
        <v>116</v>
      </c>
      <c r="B149" s="7">
        <v>2.12</v>
      </c>
      <c r="C149" s="7">
        <v>2.15</v>
      </c>
      <c r="D149" s="7">
        <v>2.08</v>
      </c>
      <c r="E149" s="7">
        <v>2.11</v>
      </c>
      <c r="F149" s="13">
        <v>1185.82</v>
      </c>
      <c r="G149" s="13">
        <v>1185.82</v>
      </c>
    </row>
    <row r="150" spans="1:7" x14ac:dyDescent="0.2">
      <c r="A150" s="9" t="s">
        <v>115</v>
      </c>
      <c r="B150" s="7">
        <v>2.0499999999999998</v>
      </c>
      <c r="C150" s="7">
        <v>2.15</v>
      </c>
      <c r="D150" s="7">
        <v>2.0299999999999998</v>
      </c>
      <c r="E150" s="7">
        <v>2.12</v>
      </c>
      <c r="F150" s="13">
        <v>1191.44</v>
      </c>
      <c r="G150" s="13">
        <v>1191.44</v>
      </c>
    </row>
    <row r="151" spans="1:7" x14ac:dyDescent="0.2">
      <c r="A151" s="9" t="s">
        <v>114</v>
      </c>
      <c r="B151" s="7">
        <v>2.0699999999999998</v>
      </c>
      <c r="C151" s="7">
        <v>2.11</v>
      </c>
      <c r="D151" s="7">
        <v>2.04</v>
      </c>
      <c r="E151" s="7">
        <v>2.08</v>
      </c>
      <c r="F151" s="13">
        <v>1168.96</v>
      </c>
      <c r="G151" s="13">
        <v>1168.96</v>
      </c>
    </row>
    <row r="152" spans="1:7" x14ac:dyDescent="0.2">
      <c r="A152" s="9" t="s">
        <v>113</v>
      </c>
      <c r="B152" s="7">
        <v>2.0299999999999998</v>
      </c>
      <c r="C152" s="7">
        <v>2.0499999999999998</v>
      </c>
      <c r="D152" s="7">
        <v>2</v>
      </c>
      <c r="E152" s="7">
        <v>2.02</v>
      </c>
      <c r="F152" s="13">
        <v>1135.24</v>
      </c>
      <c r="G152" s="13">
        <v>1135.24</v>
      </c>
    </row>
    <row r="153" spans="1:7" x14ac:dyDescent="0.2">
      <c r="A153" s="9" t="s">
        <v>112</v>
      </c>
      <c r="B153" s="7">
        <v>2.02</v>
      </c>
      <c r="C153" s="7">
        <v>2.04</v>
      </c>
      <c r="D153" s="7">
        <v>1.9750000000000001</v>
      </c>
      <c r="E153" s="7">
        <v>2.0299999999999998</v>
      </c>
      <c r="F153" s="13">
        <v>1140.8599999999999</v>
      </c>
      <c r="G153" s="13">
        <v>1140.8599999999999</v>
      </c>
    </row>
    <row r="154" spans="1:7" x14ac:dyDescent="0.2">
      <c r="A154" s="9" t="s">
        <v>111</v>
      </c>
      <c r="B154" s="7">
        <v>2.0099999999999998</v>
      </c>
      <c r="C154" s="7">
        <v>2.0099999999999998</v>
      </c>
      <c r="D154" s="7">
        <v>1.9650000000000001</v>
      </c>
      <c r="E154" s="7">
        <v>1.9850000000000001</v>
      </c>
      <c r="F154" s="13">
        <v>1115.5700000000002</v>
      </c>
      <c r="G154" s="13">
        <v>1115.5700000000002</v>
      </c>
    </row>
    <row r="155" spans="1:7" x14ac:dyDescent="0.2">
      <c r="A155" s="9" t="s">
        <v>110</v>
      </c>
      <c r="B155" s="7">
        <v>2.06</v>
      </c>
      <c r="C155" s="7">
        <v>2.085</v>
      </c>
      <c r="D155" s="7">
        <v>2.04</v>
      </c>
      <c r="E155" s="7">
        <v>2.06</v>
      </c>
      <c r="F155" s="13">
        <v>1157.72</v>
      </c>
      <c r="G155" s="13">
        <v>1157.72</v>
      </c>
    </row>
    <row r="156" spans="1:7" x14ac:dyDescent="0.2">
      <c r="A156" s="9" t="s">
        <v>109</v>
      </c>
      <c r="B156" s="7">
        <v>2.08</v>
      </c>
      <c r="C156" s="7">
        <v>2.08</v>
      </c>
      <c r="D156" s="7">
        <v>2</v>
      </c>
      <c r="E156" s="7">
        <v>2.04</v>
      </c>
      <c r="F156" s="13">
        <v>1146.48</v>
      </c>
      <c r="G156" s="13">
        <v>1146.48</v>
      </c>
    </row>
    <row r="157" spans="1:7" x14ac:dyDescent="0.2">
      <c r="A157" s="9" t="s">
        <v>108</v>
      </c>
      <c r="B157" s="7">
        <v>2.11</v>
      </c>
      <c r="C157" s="7">
        <v>2.21</v>
      </c>
      <c r="D157" s="7">
        <v>2.09</v>
      </c>
      <c r="E157" s="7">
        <v>2.21</v>
      </c>
      <c r="F157" s="13">
        <v>1242.02</v>
      </c>
      <c r="G157" s="13">
        <v>1242.02</v>
      </c>
    </row>
    <row r="158" spans="1:7" x14ac:dyDescent="0.2">
      <c r="A158" s="9" t="s">
        <v>107</v>
      </c>
      <c r="B158" s="7">
        <v>2.23</v>
      </c>
      <c r="C158" s="7">
        <v>2.23</v>
      </c>
      <c r="D158" s="7">
        <v>2.1800000000000002</v>
      </c>
      <c r="E158" s="7">
        <v>2.2000000000000002</v>
      </c>
      <c r="F158" s="13">
        <v>1236.4000000000001</v>
      </c>
      <c r="G158" s="13">
        <v>1236.4000000000001</v>
      </c>
    </row>
    <row r="159" spans="1:7" x14ac:dyDescent="0.2">
      <c r="A159" s="9" t="s">
        <v>106</v>
      </c>
      <c r="B159" s="7">
        <v>2.2000000000000002</v>
      </c>
      <c r="C159" s="7">
        <v>2.2200000000000002</v>
      </c>
      <c r="D159" s="7">
        <v>2.1800000000000002</v>
      </c>
      <c r="E159" s="7">
        <v>2.1800000000000002</v>
      </c>
      <c r="F159" s="13">
        <v>1225.1600000000001</v>
      </c>
      <c r="G159" s="13">
        <v>1225.1600000000001</v>
      </c>
    </row>
    <row r="160" spans="1:7" x14ac:dyDescent="0.2">
      <c r="A160" s="9" t="s">
        <v>105</v>
      </c>
      <c r="B160" s="7">
        <v>2.23</v>
      </c>
      <c r="C160" s="7">
        <v>2.25</v>
      </c>
      <c r="D160" s="7">
        <v>2.16</v>
      </c>
      <c r="E160" s="7">
        <v>2.2000000000000002</v>
      </c>
      <c r="F160" s="13">
        <v>1236.4000000000001</v>
      </c>
      <c r="G160" s="13">
        <v>1236.4000000000001</v>
      </c>
    </row>
    <row r="161" spans="1:7" x14ac:dyDescent="0.2">
      <c r="A161" s="9" t="s">
        <v>104</v>
      </c>
      <c r="B161" s="7">
        <v>2.2400000000000002</v>
      </c>
      <c r="C161" s="7">
        <v>2.27</v>
      </c>
      <c r="D161" s="7">
        <v>2.17</v>
      </c>
      <c r="E161" s="7">
        <v>2.17</v>
      </c>
      <c r="F161" s="13">
        <v>1219.54</v>
      </c>
      <c r="G161" s="13">
        <v>1219.54</v>
      </c>
    </row>
    <row r="162" spans="1:7" x14ac:dyDescent="0.2">
      <c r="A162" s="9" t="s">
        <v>103</v>
      </c>
      <c r="B162" s="7">
        <v>2.21</v>
      </c>
      <c r="C162" s="7">
        <v>2.23</v>
      </c>
      <c r="D162" s="7">
        <v>2.1549999999999998</v>
      </c>
      <c r="E162" s="7">
        <v>2.1800000000000002</v>
      </c>
      <c r="F162" s="13">
        <v>1225.1600000000001</v>
      </c>
      <c r="G162" s="13">
        <v>1225.1600000000001</v>
      </c>
    </row>
    <row r="163" spans="1:7" x14ac:dyDescent="0.2">
      <c r="A163" s="9" t="s">
        <v>102</v>
      </c>
      <c r="B163" s="7">
        <v>2.19</v>
      </c>
      <c r="C163" s="7">
        <v>2.2349999999999999</v>
      </c>
      <c r="D163" s="7">
        <v>2.16</v>
      </c>
      <c r="E163" s="7">
        <v>2.21</v>
      </c>
      <c r="F163" s="13">
        <v>1242.02</v>
      </c>
      <c r="G163" s="13">
        <v>1242.02</v>
      </c>
    </row>
    <row r="164" spans="1:7" x14ac:dyDescent="0.2">
      <c r="A164" s="9" t="s">
        <v>101</v>
      </c>
      <c r="B164" s="7">
        <v>2.23</v>
      </c>
      <c r="C164" s="7">
        <v>2.2549999999999999</v>
      </c>
      <c r="D164" s="7">
        <v>2.19</v>
      </c>
      <c r="E164" s="7">
        <v>2.2200000000000002</v>
      </c>
      <c r="F164" s="13">
        <v>1247.6400000000001</v>
      </c>
      <c r="G164" s="13">
        <v>1247.6400000000001</v>
      </c>
    </row>
    <row r="165" spans="1:7" x14ac:dyDescent="0.2">
      <c r="A165" s="9" t="s">
        <v>100</v>
      </c>
      <c r="B165" s="7">
        <v>2.21</v>
      </c>
      <c r="C165" s="7">
        <v>2.21</v>
      </c>
      <c r="D165" s="7">
        <v>2.16</v>
      </c>
      <c r="E165" s="7">
        <v>2.2000000000000002</v>
      </c>
      <c r="F165" s="13">
        <v>1236.4000000000001</v>
      </c>
      <c r="G165" s="13">
        <v>1236.4000000000001</v>
      </c>
    </row>
    <row r="166" spans="1:7" x14ac:dyDescent="0.2">
      <c r="A166" s="9" t="s">
        <v>99</v>
      </c>
      <c r="B166" s="7">
        <v>2.2400000000000002</v>
      </c>
      <c r="C166" s="7">
        <v>2.25</v>
      </c>
      <c r="D166" s="7">
        <v>2.19</v>
      </c>
      <c r="E166" s="7">
        <v>2.2000000000000002</v>
      </c>
      <c r="F166" s="13">
        <v>1236.4000000000001</v>
      </c>
      <c r="G166" s="13">
        <v>1236.4000000000001</v>
      </c>
    </row>
    <row r="167" spans="1:7" x14ac:dyDescent="0.2">
      <c r="A167" s="9" t="s">
        <v>98</v>
      </c>
      <c r="B167" s="7">
        <v>2.19</v>
      </c>
      <c r="C167" s="7">
        <v>2.2200000000000002</v>
      </c>
      <c r="D167" s="7">
        <v>2.1800000000000002</v>
      </c>
      <c r="E167" s="7">
        <v>2.19</v>
      </c>
      <c r="F167" s="13">
        <v>1230.78</v>
      </c>
      <c r="G167" s="13">
        <v>1230.78</v>
      </c>
    </row>
    <row r="168" spans="1:7" x14ac:dyDescent="0.2">
      <c r="A168" s="9" t="s">
        <v>97</v>
      </c>
      <c r="B168" s="7">
        <v>2.2000000000000002</v>
      </c>
      <c r="C168" s="7">
        <v>2.25</v>
      </c>
      <c r="D168" s="7">
        <v>2.1850000000000001</v>
      </c>
      <c r="E168" s="7">
        <v>2.19</v>
      </c>
      <c r="F168" s="13">
        <v>1230.78</v>
      </c>
      <c r="G168" s="13">
        <v>1230.78</v>
      </c>
    </row>
    <row r="169" spans="1:7" x14ac:dyDescent="0.2">
      <c r="A169" s="9" t="s">
        <v>96</v>
      </c>
      <c r="B169" s="7">
        <v>2.15</v>
      </c>
      <c r="C169" s="7">
        <v>2.1800000000000002</v>
      </c>
      <c r="D169" s="7">
        <v>2.0699999999999998</v>
      </c>
      <c r="E169" s="7">
        <v>2.14</v>
      </c>
      <c r="F169" s="13">
        <v>1202.68</v>
      </c>
      <c r="G169" s="13">
        <v>1202.68</v>
      </c>
    </row>
    <row r="170" spans="1:7" x14ac:dyDescent="0.2">
      <c r="A170" s="9" t="s">
        <v>95</v>
      </c>
      <c r="B170" s="7">
        <v>2.16</v>
      </c>
      <c r="C170" s="7">
        <v>2.27</v>
      </c>
      <c r="D170" s="7">
        <v>2.13</v>
      </c>
      <c r="E170" s="7">
        <v>2.27</v>
      </c>
      <c r="F170" s="13">
        <v>1275.74</v>
      </c>
      <c r="G170" s="13">
        <v>1275.74</v>
      </c>
    </row>
    <row r="171" spans="1:7" x14ac:dyDescent="0.2">
      <c r="A171" s="9" t="s">
        <v>94</v>
      </c>
      <c r="B171" s="7">
        <v>2.21</v>
      </c>
      <c r="C171" s="7">
        <v>2.21</v>
      </c>
      <c r="D171" s="7">
        <v>2.12</v>
      </c>
      <c r="E171" s="7">
        <v>2.2000000000000002</v>
      </c>
      <c r="F171" s="13">
        <v>1236.4000000000001</v>
      </c>
      <c r="G171" s="13">
        <v>1236.4000000000001</v>
      </c>
    </row>
    <row r="172" spans="1:7" x14ac:dyDescent="0.2">
      <c r="A172" s="9" t="s">
        <v>93</v>
      </c>
      <c r="B172" s="7">
        <v>2.2000000000000002</v>
      </c>
      <c r="C172" s="7">
        <v>2.23</v>
      </c>
      <c r="D172" s="7">
        <v>2.17</v>
      </c>
      <c r="E172" s="7">
        <v>2.19</v>
      </c>
      <c r="F172" s="13">
        <v>1230.78</v>
      </c>
      <c r="G172" s="13">
        <v>1230.78</v>
      </c>
    </row>
    <row r="173" spans="1:7" x14ac:dyDescent="0.2">
      <c r="A173" s="9" t="s">
        <v>92</v>
      </c>
      <c r="B173" s="7">
        <v>2.13</v>
      </c>
      <c r="C173" s="7">
        <v>2.16</v>
      </c>
      <c r="D173" s="7">
        <v>2.0449999999999999</v>
      </c>
      <c r="E173" s="7">
        <v>2.0699999999999998</v>
      </c>
      <c r="F173" s="13">
        <v>1163.3399999999999</v>
      </c>
      <c r="G173" s="13">
        <v>1163.3399999999999</v>
      </c>
    </row>
    <row r="174" spans="1:7" x14ac:dyDescent="0.2">
      <c r="A174" s="9" t="s">
        <v>91</v>
      </c>
      <c r="B174" s="7">
        <v>2.09</v>
      </c>
      <c r="C174" s="7">
        <v>2.15</v>
      </c>
      <c r="D174" s="7">
        <v>2.0699999999999998</v>
      </c>
      <c r="E174" s="7">
        <v>2.14</v>
      </c>
      <c r="F174" s="13">
        <v>1202.68</v>
      </c>
      <c r="G174" s="13">
        <v>1202.68</v>
      </c>
    </row>
    <row r="175" spans="1:7" x14ac:dyDescent="0.2">
      <c r="A175" s="9" t="s">
        <v>90</v>
      </c>
      <c r="B175" s="7">
        <v>2.15</v>
      </c>
      <c r="C175" s="7">
        <v>2.19</v>
      </c>
      <c r="D175" s="7">
        <v>2.09</v>
      </c>
      <c r="E175" s="7">
        <v>2.1800000000000002</v>
      </c>
      <c r="F175" s="13">
        <v>1225.1600000000001</v>
      </c>
      <c r="G175" s="13">
        <v>1225.1600000000001</v>
      </c>
    </row>
    <row r="176" spans="1:7" x14ac:dyDescent="0.2">
      <c r="A176" s="9" t="s">
        <v>89</v>
      </c>
      <c r="B176" s="7">
        <v>2.14</v>
      </c>
      <c r="C176" s="7">
        <v>2.14</v>
      </c>
      <c r="D176" s="7">
        <v>2.0699999999999998</v>
      </c>
      <c r="E176" s="7">
        <v>2.0699999999999998</v>
      </c>
      <c r="F176" s="13">
        <v>1163.3399999999999</v>
      </c>
      <c r="G176" s="13">
        <v>1163.3399999999999</v>
      </c>
    </row>
    <row r="177" spans="1:7" x14ac:dyDescent="0.2">
      <c r="A177" s="9" t="s">
        <v>88</v>
      </c>
      <c r="B177" s="7">
        <v>2.09</v>
      </c>
      <c r="C177" s="7">
        <v>2.1150000000000002</v>
      </c>
      <c r="D177" s="7">
        <v>2.09</v>
      </c>
      <c r="E177" s="7">
        <v>2.11</v>
      </c>
      <c r="F177" s="13">
        <v>1185.82</v>
      </c>
      <c r="G177" s="13">
        <v>1185.82</v>
      </c>
    </row>
    <row r="178" spans="1:7" x14ac:dyDescent="0.2">
      <c r="A178" s="9" t="s">
        <v>87</v>
      </c>
      <c r="B178" s="7">
        <v>2.14</v>
      </c>
      <c r="C178" s="7">
        <v>2.1800000000000002</v>
      </c>
      <c r="D178" s="7">
        <v>2.11</v>
      </c>
      <c r="E178" s="7">
        <v>2.11</v>
      </c>
      <c r="F178" s="13">
        <v>1185.82</v>
      </c>
      <c r="G178" s="13">
        <v>1185.82</v>
      </c>
    </row>
    <row r="179" spans="1:7" x14ac:dyDescent="0.2">
      <c r="A179" s="9" t="s">
        <v>86</v>
      </c>
      <c r="B179" s="7">
        <v>2.14</v>
      </c>
      <c r="C179" s="7">
        <v>2.16</v>
      </c>
      <c r="D179" s="7">
        <v>2.12</v>
      </c>
      <c r="E179" s="7">
        <v>2.15</v>
      </c>
      <c r="F179" s="13">
        <v>1208.3</v>
      </c>
      <c r="G179" s="13">
        <v>1208.3</v>
      </c>
    </row>
    <row r="180" spans="1:7" x14ac:dyDescent="0.2">
      <c r="A180" s="9" t="s">
        <v>85</v>
      </c>
      <c r="B180" s="7">
        <v>2.23</v>
      </c>
      <c r="C180" s="7">
        <v>2.2400000000000002</v>
      </c>
      <c r="D180" s="7">
        <v>2.1800000000000002</v>
      </c>
      <c r="E180" s="7">
        <v>2.2000000000000002</v>
      </c>
      <c r="F180" s="13">
        <v>1236.4000000000001</v>
      </c>
      <c r="G180" s="13">
        <v>1236.4000000000001</v>
      </c>
    </row>
    <row r="181" spans="1:7" x14ac:dyDescent="0.2">
      <c r="A181" s="9" t="s">
        <v>84</v>
      </c>
      <c r="B181" s="7">
        <v>2.21</v>
      </c>
      <c r="C181" s="7">
        <v>2.2200000000000002</v>
      </c>
      <c r="D181" s="7">
        <v>2.16</v>
      </c>
      <c r="E181" s="7">
        <v>2.17</v>
      </c>
      <c r="F181" s="13">
        <v>1219.54</v>
      </c>
      <c r="G181" s="13">
        <v>1219.54</v>
      </c>
    </row>
    <row r="182" spans="1:7" x14ac:dyDescent="0.2">
      <c r="A182" s="9" t="s">
        <v>83</v>
      </c>
      <c r="B182" s="7">
        <v>2.19</v>
      </c>
      <c r="C182" s="7">
        <v>2.2050000000000001</v>
      </c>
      <c r="D182" s="7">
        <v>2.09</v>
      </c>
      <c r="E182" s="7">
        <v>2.11</v>
      </c>
      <c r="F182" s="13">
        <v>1185.82</v>
      </c>
      <c r="G182" s="13">
        <v>1185.82</v>
      </c>
    </row>
    <row r="183" spans="1:7" x14ac:dyDescent="0.2">
      <c r="A183" s="9" t="s">
        <v>82</v>
      </c>
      <c r="B183" s="7">
        <v>2.08</v>
      </c>
      <c r="C183" s="7">
        <v>2.12</v>
      </c>
      <c r="D183" s="7">
        <v>2.0499999999999998</v>
      </c>
      <c r="E183" s="7">
        <v>2.1</v>
      </c>
      <c r="F183" s="13">
        <v>1180.2</v>
      </c>
      <c r="G183" s="13">
        <v>1180.2</v>
      </c>
    </row>
    <row r="184" spans="1:7" x14ac:dyDescent="0.2">
      <c r="A184" s="9" t="s">
        <v>81</v>
      </c>
      <c r="B184" s="7">
        <v>2.1</v>
      </c>
      <c r="C184" s="7">
        <v>2.14</v>
      </c>
      <c r="D184" s="7">
        <v>2.06</v>
      </c>
      <c r="E184" s="7">
        <v>2.12</v>
      </c>
      <c r="F184" s="13">
        <v>1191.44</v>
      </c>
      <c r="G184" s="13">
        <v>1191.44</v>
      </c>
    </row>
    <row r="185" spans="1:7" x14ac:dyDescent="0.2">
      <c r="A185" s="9" t="s">
        <v>80</v>
      </c>
      <c r="B185" s="7">
        <v>2.14</v>
      </c>
      <c r="C185" s="7">
        <v>2.19</v>
      </c>
      <c r="D185" s="7">
        <v>2.11</v>
      </c>
      <c r="E185" s="7">
        <v>2.11</v>
      </c>
      <c r="F185" s="13">
        <v>1185.82</v>
      </c>
      <c r="G185" s="13">
        <v>1185.82</v>
      </c>
    </row>
    <row r="186" spans="1:7" x14ac:dyDescent="0.2">
      <c r="A186" s="9" t="s">
        <v>79</v>
      </c>
      <c r="B186" s="7">
        <v>2.11</v>
      </c>
      <c r="C186" s="7">
        <v>2.16</v>
      </c>
      <c r="D186" s="7">
        <v>2.0699999999999998</v>
      </c>
      <c r="E186" s="7">
        <v>2.11</v>
      </c>
      <c r="F186" s="13">
        <v>1185.82</v>
      </c>
      <c r="G186" s="13">
        <v>1185.82</v>
      </c>
    </row>
    <row r="187" spans="1:7" x14ac:dyDescent="0.2">
      <c r="A187" s="9" t="s">
        <v>78</v>
      </c>
      <c r="B187" s="7">
        <v>2.0699999999999998</v>
      </c>
      <c r="C187" s="7">
        <v>2.1</v>
      </c>
      <c r="D187" s="7">
        <v>2.0499999999999998</v>
      </c>
      <c r="E187" s="7">
        <v>2.0699999999999998</v>
      </c>
      <c r="F187" s="13">
        <v>1163.3399999999999</v>
      </c>
      <c r="G187" s="13">
        <v>1163.3399999999999</v>
      </c>
    </row>
    <row r="188" spans="1:7" x14ac:dyDescent="0.2">
      <c r="A188" s="9" t="s">
        <v>77</v>
      </c>
      <c r="B188" s="7">
        <v>2.14</v>
      </c>
      <c r="C188" s="7">
        <v>2.1850000000000001</v>
      </c>
      <c r="D188" s="7">
        <v>2.1</v>
      </c>
      <c r="E188" s="7">
        <v>2.1</v>
      </c>
      <c r="F188" s="13">
        <v>1180.2</v>
      </c>
      <c r="G188" s="13">
        <v>1180.2</v>
      </c>
    </row>
    <row r="189" spans="1:7" x14ac:dyDescent="0.2">
      <c r="A189" s="9" t="s">
        <v>76</v>
      </c>
      <c r="B189" s="7">
        <v>2.13</v>
      </c>
      <c r="C189" s="7">
        <v>2.15</v>
      </c>
      <c r="D189" s="7">
        <v>2.09</v>
      </c>
      <c r="E189" s="7">
        <v>2.15</v>
      </c>
      <c r="F189" s="13">
        <v>1208.3</v>
      </c>
      <c r="G189" s="13">
        <v>1208.3</v>
      </c>
    </row>
    <row r="190" spans="1:7" x14ac:dyDescent="0.2">
      <c r="A190" s="9" t="s">
        <v>75</v>
      </c>
      <c r="B190" s="7">
        <v>2.11</v>
      </c>
      <c r="C190" s="7">
        <v>2.15</v>
      </c>
      <c r="D190" s="7">
        <v>2.09</v>
      </c>
      <c r="E190" s="7">
        <v>2.15</v>
      </c>
      <c r="F190" s="13">
        <v>1208.3</v>
      </c>
      <c r="G190" s="13">
        <v>1208.3</v>
      </c>
    </row>
    <row r="191" spans="1:7" x14ac:dyDescent="0.2">
      <c r="A191" s="9" t="s">
        <v>74</v>
      </c>
      <c r="B191" s="7">
        <v>2.14</v>
      </c>
      <c r="C191" s="7">
        <v>2.14</v>
      </c>
      <c r="D191" s="7">
        <v>2.0299999999999998</v>
      </c>
      <c r="E191" s="7">
        <v>2.06</v>
      </c>
      <c r="F191" s="13">
        <v>1157.72</v>
      </c>
      <c r="G191" s="13">
        <v>1157.72</v>
      </c>
    </row>
    <row r="192" spans="1:7" x14ac:dyDescent="0.2">
      <c r="A192" s="9" t="s">
        <v>73</v>
      </c>
      <c r="B192" s="7">
        <v>2.04</v>
      </c>
      <c r="C192" s="7">
        <v>2.0499999999999998</v>
      </c>
      <c r="D192" s="7">
        <v>2.0099999999999998</v>
      </c>
      <c r="E192" s="7">
        <v>2.04</v>
      </c>
      <c r="F192" s="13">
        <v>1146.48</v>
      </c>
      <c r="G192" s="13">
        <v>1146.48</v>
      </c>
    </row>
    <row r="193" spans="1:7" x14ac:dyDescent="0.2">
      <c r="A193" s="9" t="s">
        <v>72</v>
      </c>
      <c r="B193" s="7">
        <v>2.08</v>
      </c>
      <c r="C193" s="7">
        <v>2.125</v>
      </c>
      <c r="D193" s="7">
        <v>2.0699999999999998</v>
      </c>
      <c r="E193" s="7">
        <v>2.09</v>
      </c>
      <c r="F193" s="13">
        <v>1174.58</v>
      </c>
      <c r="G193" s="13">
        <v>1174.58</v>
      </c>
    </row>
    <row r="194" spans="1:7" x14ac:dyDescent="0.2">
      <c r="A194" s="9" t="s">
        <v>71</v>
      </c>
      <c r="B194" s="7">
        <v>2.08</v>
      </c>
      <c r="C194" s="7">
        <v>2.08</v>
      </c>
      <c r="D194" s="7">
        <v>2</v>
      </c>
      <c r="E194" s="7">
        <v>2.02</v>
      </c>
      <c r="F194" s="13">
        <v>1135.24</v>
      </c>
      <c r="G194" s="13">
        <v>1135.24</v>
      </c>
    </row>
    <row r="195" spans="1:7" x14ac:dyDescent="0.2">
      <c r="A195" s="9" t="s">
        <v>70</v>
      </c>
      <c r="B195" s="7">
        <v>2.02</v>
      </c>
      <c r="C195" s="7">
        <v>2.0449999999999999</v>
      </c>
      <c r="D195" s="7">
        <v>1.98</v>
      </c>
      <c r="E195" s="7">
        <v>2.04</v>
      </c>
      <c r="F195" s="13">
        <v>1146.48</v>
      </c>
      <c r="G195" s="13">
        <v>1146.48</v>
      </c>
    </row>
    <row r="196" spans="1:7" x14ac:dyDescent="0.2">
      <c r="A196" s="9" t="s">
        <v>69</v>
      </c>
      <c r="B196" s="7">
        <v>2.04</v>
      </c>
      <c r="C196" s="7">
        <v>2.04</v>
      </c>
      <c r="D196" s="7">
        <v>1.98</v>
      </c>
      <c r="E196" s="7">
        <v>2.02</v>
      </c>
      <c r="F196" s="13">
        <v>1135.24</v>
      </c>
      <c r="G196" s="13">
        <v>1135.24</v>
      </c>
    </row>
    <row r="197" spans="1:7" x14ac:dyDescent="0.2">
      <c r="A197" s="9" t="s">
        <v>68</v>
      </c>
      <c r="B197" s="7">
        <v>1.9950000000000001</v>
      </c>
      <c r="C197" s="7">
        <v>2.0299999999999998</v>
      </c>
      <c r="D197" s="7">
        <v>1.99</v>
      </c>
      <c r="E197" s="7">
        <v>2.0099999999999998</v>
      </c>
      <c r="F197" s="13">
        <v>1129.6199999999999</v>
      </c>
      <c r="G197" s="13">
        <v>1129.6199999999999</v>
      </c>
    </row>
    <row r="198" spans="1:7" s="33" customFormat="1" x14ac:dyDescent="0.2">
      <c r="A198" s="30" t="s">
        <v>67</v>
      </c>
      <c r="B198" s="31">
        <v>1.98</v>
      </c>
      <c r="C198" s="31">
        <v>2.0299999999999998</v>
      </c>
      <c r="D198" s="31">
        <v>1.98</v>
      </c>
      <c r="E198" s="31">
        <v>1.9950000000000001</v>
      </c>
      <c r="F198" s="32">
        <v>1121.19</v>
      </c>
      <c r="G198" s="32">
        <v>1121.19</v>
      </c>
    </row>
    <row r="199" spans="1:7" x14ac:dyDescent="0.2">
      <c r="A199" s="9" t="s">
        <v>66</v>
      </c>
      <c r="B199" s="7">
        <v>2.02</v>
      </c>
      <c r="C199" s="7">
        <v>2.0350000000000001</v>
      </c>
      <c r="D199" s="7">
        <v>2.0049999999999999</v>
      </c>
      <c r="E199" s="7">
        <v>2.0299999999999998</v>
      </c>
      <c r="F199" s="13">
        <v>1140.8599999999999</v>
      </c>
      <c r="G199" s="13">
        <v>1140.8599999999999</v>
      </c>
    </row>
    <row r="200" spans="1:7" x14ac:dyDescent="0.2">
      <c r="A200" s="9" t="s">
        <v>65</v>
      </c>
      <c r="B200" s="7">
        <v>2.0499999999999998</v>
      </c>
      <c r="C200" s="7">
        <v>2.1</v>
      </c>
      <c r="D200" s="7">
        <v>2.0499999999999998</v>
      </c>
      <c r="E200" s="7">
        <v>2.0699999999999998</v>
      </c>
      <c r="F200" s="13">
        <v>1163.3399999999999</v>
      </c>
      <c r="G200" s="13">
        <v>1163.3399999999999</v>
      </c>
    </row>
    <row r="201" spans="1:7" x14ac:dyDescent="0.2">
      <c r="A201" s="9" t="s">
        <v>64</v>
      </c>
      <c r="B201" s="7">
        <v>2.09</v>
      </c>
      <c r="C201" s="7">
        <v>2.09</v>
      </c>
      <c r="D201" s="7">
        <v>2.04</v>
      </c>
      <c r="E201" s="7">
        <v>2.0499999999999998</v>
      </c>
      <c r="F201" s="13">
        <v>1152.0999999999999</v>
      </c>
      <c r="G201" s="13">
        <v>1152.0999999999999</v>
      </c>
    </row>
    <row r="202" spans="1:7" x14ac:dyDescent="0.2">
      <c r="A202" s="9" t="s">
        <v>63</v>
      </c>
      <c r="B202" s="7">
        <v>2.08</v>
      </c>
      <c r="C202" s="7">
        <v>2.13</v>
      </c>
      <c r="D202" s="7">
        <v>2.0699999999999998</v>
      </c>
      <c r="E202" s="7">
        <v>2.08</v>
      </c>
      <c r="F202" s="13">
        <v>1168.96</v>
      </c>
      <c r="G202" s="13">
        <v>1168.96</v>
      </c>
    </row>
    <row r="203" spans="1:7" x14ac:dyDescent="0.2">
      <c r="A203" s="9" t="s">
        <v>62</v>
      </c>
      <c r="B203" s="7">
        <v>2.12</v>
      </c>
      <c r="C203" s="7">
        <v>2.19</v>
      </c>
      <c r="D203" s="7">
        <v>2.11</v>
      </c>
      <c r="E203" s="7">
        <v>2.19</v>
      </c>
      <c r="F203" s="13">
        <v>1230.78</v>
      </c>
      <c r="G203" s="13">
        <v>1230.78</v>
      </c>
    </row>
    <row r="204" spans="1:7" x14ac:dyDescent="0.2">
      <c r="A204" s="9" t="s">
        <v>61</v>
      </c>
      <c r="B204" s="7">
        <v>2.2400000000000002</v>
      </c>
      <c r="C204" s="7">
        <v>2.3199999999999998</v>
      </c>
      <c r="D204" s="7">
        <v>2.2000000000000002</v>
      </c>
      <c r="E204" s="7">
        <v>2.3199999999999998</v>
      </c>
      <c r="F204" s="13">
        <v>1303.8399999999999</v>
      </c>
      <c r="G204" s="13">
        <v>1303.8399999999999</v>
      </c>
    </row>
    <row r="205" spans="1:7" x14ac:dyDescent="0.2">
      <c r="A205" s="9" t="s">
        <v>60</v>
      </c>
      <c r="B205" s="7">
        <v>2.2999999999999998</v>
      </c>
      <c r="C205" s="7">
        <v>2.3199999999999998</v>
      </c>
      <c r="D205" s="7">
        <v>2.2549999999999999</v>
      </c>
      <c r="E205" s="7">
        <v>2.2999999999999998</v>
      </c>
      <c r="F205" s="13">
        <v>1292.5999999999999</v>
      </c>
      <c r="G205" s="13">
        <v>1292.5999999999999</v>
      </c>
    </row>
    <row r="206" spans="1:7" x14ac:dyDescent="0.2">
      <c r="A206" s="9" t="s">
        <v>59</v>
      </c>
      <c r="B206" s="7">
        <v>2.4</v>
      </c>
      <c r="C206" s="7">
        <v>2.4750000000000001</v>
      </c>
      <c r="D206" s="7">
        <v>2.375</v>
      </c>
      <c r="E206" s="7">
        <v>2.4700000000000002</v>
      </c>
      <c r="F206" s="13">
        <v>1388.14</v>
      </c>
      <c r="G206" s="13">
        <v>1388.14</v>
      </c>
    </row>
    <row r="207" spans="1:7" x14ac:dyDescent="0.2">
      <c r="A207" s="9" t="s">
        <v>58</v>
      </c>
      <c r="B207" s="7">
        <v>2.4300000000000002</v>
      </c>
      <c r="C207" s="7">
        <v>2.4900000000000002</v>
      </c>
      <c r="D207" s="7">
        <v>2.3849999999999998</v>
      </c>
      <c r="E207" s="7">
        <v>2.4900000000000002</v>
      </c>
      <c r="F207" s="13">
        <v>1399.38</v>
      </c>
      <c r="G207" s="13">
        <v>1399.38</v>
      </c>
    </row>
    <row r="208" spans="1:7" s="33" customFormat="1" x14ac:dyDescent="0.2">
      <c r="A208" s="30" t="s">
        <v>57</v>
      </c>
      <c r="B208" s="31">
        <v>2.4700000000000002</v>
      </c>
      <c r="C208" s="31">
        <v>2.5750000000000002</v>
      </c>
      <c r="D208" s="31">
        <v>2.46</v>
      </c>
      <c r="E208" s="31">
        <v>2.56</v>
      </c>
      <c r="F208" s="32">
        <v>1438.72</v>
      </c>
      <c r="G208" s="32">
        <v>1438.72</v>
      </c>
    </row>
    <row r="209" spans="1:7" x14ac:dyDescent="0.2">
      <c r="A209" s="9" t="s">
        <v>56</v>
      </c>
      <c r="B209" s="7">
        <v>2.4900000000000002</v>
      </c>
      <c r="C209" s="7">
        <v>2.52</v>
      </c>
      <c r="D209" s="7">
        <v>2.4300000000000002</v>
      </c>
      <c r="E209" s="7">
        <v>2.4900000000000002</v>
      </c>
      <c r="F209" s="13">
        <v>1399.38</v>
      </c>
      <c r="G209" s="13">
        <v>1399.38</v>
      </c>
    </row>
    <row r="210" spans="1:7" x14ac:dyDescent="0.2">
      <c r="A210" s="9" t="s">
        <v>55</v>
      </c>
      <c r="B210" s="7">
        <v>2.4700000000000002</v>
      </c>
      <c r="C210" s="7">
        <v>2.5299999999999998</v>
      </c>
      <c r="D210" s="7">
        <v>2.4500000000000002</v>
      </c>
      <c r="E210" s="7">
        <v>2.5299999999999998</v>
      </c>
      <c r="F210" s="13">
        <v>1421.86</v>
      </c>
      <c r="G210" s="13">
        <v>1421.86</v>
      </c>
    </row>
    <row r="211" spans="1:7" x14ac:dyDescent="0.2">
      <c r="A211" s="9" t="s">
        <v>54</v>
      </c>
      <c r="B211" s="7">
        <v>2.5</v>
      </c>
      <c r="C211" s="7">
        <v>2.5049999999999999</v>
      </c>
      <c r="D211" s="7">
        <v>2.42</v>
      </c>
      <c r="E211" s="7">
        <v>2.44</v>
      </c>
      <c r="F211" s="13">
        <v>1371.28</v>
      </c>
      <c r="G211" s="13">
        <v>1371.28</v>
      </c>
    </row>
    <row r="212" spans="1:7" x14ac:dyDescent="0.2">
      <c r="A212" s="9" t="s">
        <v>53</v>
      </c>
      <c r="B212" s="7">
        <v>2.46</v>
      </c>
      <c r="C212" s="7">
        <v>2.4950000000000001</v>
      </c>
      <c r="D212" s="7">
        <v>2.42</v>
      </c>
      <c r="E212" s="7">
        <v>2.4700000000000002</v>
      </c>
      <c r="F212" s="13">
        <v>1388.14</v>
      </c>
      <c r="G212" s="13">
        <v>1388.14</v>
      </c>
    </row>
    <row r="213" spans="1:7" x14ac:dyDescent="0.2">
      <c r="A213" s="9" t="s">
        <v>52</v>
      </c>
      <c r="B213" s="7">
        <v>2.5</v>
      </c>
      <c r="C213" s="7">
        <v>2.5049999999999999</v>
      </c>
      <c r="D213" s="7">
        <v>2.39</v>
      </c>
      <c r="E213" s="7">
        <v>2.44</v>
      </c>
      <c r="F213" s="13">
        <v>1371.28</v>
      </c>
      <c r="G213" s="13">
        <v>1371.28</v>
      </c>
    </row>
    <row r="214" spans="1:7" x14ac:dyDescent="0.2">
      <c r="A214" s="9" t="s">
        <v>51</v>
      </c>
      <c r="B214" s="7">
        <v>2.4</v>
      </c>
      <c r="C214" s="7">
        <v>2.46</v>
      </c>
      <c r="D214" s="7">
        <v>2.38</v>
      </c>
      <c r="E214" s="7">
        <v>2.4500000000000002</v>
      </c>
      <c r="F214" s="13">
        <v>1376.9</v>
      </c>
      <c r="G214" s="13">
        <v>1376.9</v>
      </c>
    </row>
    <row r="215" spans="1:7" x14ac:dyDescent="0.2">
      <c r="A215" s="9" t="s">
        <v>50</v>
      </c>
      <c r="B215" s="7">
        <v>2.4</v>
      </c>
      <c r="C215" s="7">
        <v>2.4</v>
      </c>
      <c r="D215" s="7">
        <v>2.33</v>
      </c>
      <c r="E215" s="7">
        <v>2.34</v>
      </c>
      <c r="F215" s="13">
        <v>1315.08</v>
      </c>
      <c r="G215" s="13">
        <v>1315.08</v>
      </c>
    </row>
    <row r="216" spans="1:7" x14ac:dyDescent="0.2">
      <c r="A216" s="9" t="s">
        <v>49</v>
      </c>
      <c r="B216" s="7">
        <v>2.34</v>
      </c>
      <c r="C216" s="7">
        <v>2.36</v>
      </c>
      <c r="D216" s="7">
        <v>2.2999999999999998</v>
      </c>
      <c r="E216" s="7">
        <v>2.3199999999999998</v>
      </c>
      <c r="F216" s="13">
        <v>1303.8399999999999</v>
      </c>
      <c r="G216" s="13">
        <v>1303.8399999999999</v>
      </c>
    </row>
    <row r="217" spans="1:7" x14ac:dyDescent="0.2">
      <c r="A217" s="9" t="s">
        <v>48</v>
      </c>
      <c r="B217" s="7">
        <v>2.2999999999999998</v>
      </c>
      <c r="C217" s="7">
        <v>2.31</v>
      </c>
      <c r="D217" s="7">
        <v>2.25</v>
      </c>
      <c r="E217" s="7">
        <v>2.2599999999999998</v>
      </c>
      <c r="F217" s="13">
        <v>1270.1199999999999</v>
      </c>
      <c r="G217" s="13">
        <v>1270.1199999999999</v>
      </c>
    </row>
    <row r="218" spans="1:7" x14ac:dyDescent="0.2">
      <c r="A218" s="9" t="s">
        <v>47</v>
      </c>
      <c r="B218" s="7">
        <v>2.2599999999999998</v>
      </c>
      <c r="C218" s="7">
        <v>2.2999999999999998</v>
      </c>
      <c r="D218" s="7">
        <v>2.19</v>
      </c>
      <c r="E218" s="7">
        <v>2.23</v>
      </c>
      <c r="F218" s="13">
        <v>1253.26</v>
      </c>
      <c r="G218" s="13">
        <v>1253.26</v>
      </c>
    </row>
    <row r="219" spans="1:7" x14ac:dyDescent="0.2">
      <c r="A219" s="9" t="s">
        <v>46</v>
      </c>
      <c r="B219" s="7">
        <v>2.17</v>
      </c>
      <c r="C219" s="7">
        <v>2.17</v>
      </c>
      <c r="D219" s="7">
        <v>2.09</v>
      </c>
      <c r="E219" s="7">
        <v>2.14</v>
      </c>
      <c r="F219" s="13">
        <v>1202.68</v>
      </c>
      <c r="G219" s="13">
        <v>1202.68</v>
      </c>
    </row>
    <row r="220" spans="1:7" x14ac:dyDescent="0.2">
      <c r="A220" s="9" t="s">
        <v>45</v>
      </c>
      <c r="B220" s="7">
        <v>2.19</v>
      </c>
      <c r="C220" s="7">
        <v>2.2599999999999998</v>
      </c>
      <c r="D220" s="7">
        <v>2.1749999999999998</v>
      </c>
      <c r="E220" s="7">
        <v>2.2400000000000002</v>
      </c>
      <c r="F220" s="13">
        <v>1258.8800000000001</v>
      </c>
      <c r="G220" s="13">
        <v>1258.8800000000001</v>
      </c>
    </row>
    <row r="221" spans="1:7" x14ac:dyDescent="0.2">
      <c r="A221" s="9" t="s">
        <v>44</v>
      </c>
      <c r="B221" s="7">
        <v>2.23</v>
      </c>
      <c r="C221" s="7">
        <v>2.35</v>
      </c>
      <c r="D221" s="7">
        <v>2.23</v>
      </c>
      <c r="E221" s="7">
        <v>2.33</v>
      </c>
      <c r="F221" s="13">
        <v>1309.46</v>
      </c>
      <c r="G221" s="13">
        <v>1309.46</v>
      </c>
    </row>
    <row r="222" spans="1:7" x14ac:dyDescent="0.2">
      <c r="A222" s="9" t="s">
        <v>43</v>
      </c>
      <c r="B222" s="7">
        <v>2.2400000000000002</v>
      </c>
      <c r="C222" s="7">
        <v>2.31</v>
      </c>
      <c r="D222" s="7">
        <v>2.2000000000000002</v>
      </c>
      <c r="E222" s="7">
        <v>2.2999999999999998</v>
      </c>
      <c r="F222" s="13">
        <v>1292.5999999999999</v>
      </c>
      <c r="G222" s="13">
        <v>1292.5999999999999</v>
      </c>
    </row>
    <row r="223" spans="1:7" x14ac:dyDescent="0.2">
      <c r="A223" s="9" t="s">
        <v>42</v>
      </c>
      <c r="B223" s="7">
        <v>2.2799999999999998</v>
      </c>
      <c r="C223" s="7">
        <v>2.335</v>
      </c>
      <c r="D223" s="7">
        <v>2.2599999999999998</v>
      </c>
      <c r="E223" s="7">
        <v>2.2999999999999998</v>
      </c>
      <c r="F223" s="13">
        <v>1292.5999999999999</v>
      </c>
      <c r="G223" s="13">
        <v>1292.5999999999999</v>
      </c>
    </row>
    <row r="224" spans="1:7" x14ac:dyDescent="0.2">
      <c r="A224" s="9" t="s">
        <v>41</v>
      </c>
      <c r="B224" s="7">
        <v>2.2799999999999998</v>
      </c>
      <c r="C224" s="7">
        <v>2.29</v>
      </c>
      <c r="D224" s="7">
        <v>2.21</v>
      </c>
      <c r="E224" s="7">
        <v>2.23</v>
      </c>
      <c r="F224" s="13">
        <v>1253.26</v>
      </c>
      <c r="G224" s="13">
        <v>1253.26</v>
      </c>
    </row>
    <row r="225" spans="1:7" x14ac:dyDescent="0.2">
      <c r="A225" s="9" t="s">
        <v>40</v>
      </c>
      <c r="B225" s="7">
        <v>2.2999999999999998</v>
      </c>
      <c r="C225" s="7">
        <v>2.31</v>
      </c>
      <c r="D225" s="7">
        <v>2.2400000000000002</v>
      </c>
      <c r="E225" s="7">
        <v>2.27</v>
      </c>
      <c r="F225" s="13">
        <v>1275.74</v>
      </c>
      <c r="G225" s="13">
        <v>1275.74</v>
      </c>
    </row>
    <row r="226" spans="1:7" x14ac:dyDescent="0.2">
      <c r="A226" s="9" t="s">
        <v>39</v>
      </c>
      <c r="B226" s="7">
        <v>2.27</v>
      </c>
      <c r="C226" s="7">
        <v>2.36</v>
      </c>
      <c r="D226" s="7">
        <v>2.2599999999999998</v>
      </c>
      <c r="E226" s="7">
        <v>2.31</v>
      </c>
      <c r="F226" s="13">
        <v>1298.22</v>
      </c>
      <c r="G226" s="13">
        <v>1298.22</v>
      </c>
    </row>
    <row r="227" spans="1:7" x14ac:dyDescent="0.2">
      <c r="A227" s="9" t="s">
        <v>38</v>
      </c>
      <c r="B227" s="7">
        <v>2.34</v>
      </c>
      <c r="C227" s="7">
        <v>2.4500000000000002</v>
      </c>
      <c r="D227" s="7">
        <v>2.34</v>
      </c>
      <c r="E227" s="7">
        <v>2.42</v>
      </c>
      <c r="F227" s="13">
        <v>1360.04</v>
      </c>
      <c r="G227" s="13">
        <v>1360.04</v>
      </c>
    </row>
    <row r="228" spans="1:7" x14ac:dyDescent="0.2">
      <c r="A228" s="9" t="s">
        <v>37</v>
      </c>
      <c r="B228" s="7">
        <v>2.46</v>
      </c>
      <c r="C228" s="7">
        <v>2.5</v>
      </c>
      <c r="D228" s="7">
        <v>2.4550000000000001</v>
      </c>
      <c r="E228" s="7">
        <v>2.4700000000000002</v>
      </c>
      <c r="F228" s="13">
        <v>1388.14</v>
      </c>
      <c r="G228" s="13">
        <v>1388.14</v>
      </c>
    </row>
    <row r="229" spans="1:7" x14ac:dyDescent="0.2">
      <c r="A229" s="9" t="s">
        <v>36</v>
      </c>
      <c r="B229" s="7">
        <v>2.5</v>
      </c>
      <c r="C229" s="7">
        <v>2.5</v>
      </c>
      <c r="D229" s="7">
        <v>2.46</v>
      </c>
      <c r="E229" s="7">
        <v>2.48</v>
      </c>
      <c r="F229" s="13">
        <v>1393.76</v>
      </c>
      <c r="G229" s="13">
        <v>1393.76</v>
      </c>
    </row>
    <row r="230" spans="1:7" x14ac:dyDescent="0.2">
      <c r="A230" s="9" t="s">
        <v>35</v>
      </c>
      <c r="B230" s="7">
        <v>2.5</v>
      </c>
      <c r="C230" s="7">
        <v>2.5299999999999998</v>
      </c>
      <c r="D230" s="7">
        <v>2.4900000000000002</v>
      </c>
      <c r="E230" s="7">
        <v>2.5</v>
      </c>
      <c r="F230" s="13">
        <v>1405</v>
      </c>
      <c r="G230" s="13">
        <v>1405</v>
      </c>
    </row>
    <row r="231" spans="1:7" x14ac:dyDescent="0.2">
      <c r="A231" s="9" t="s">
        <v>34</v>
      </c>
      <c r="B231" s="7">
        <v>2.5299999999999998</v>
      </c>
      <c r="C231" s="7">
        <v>2.54</v>
      </c>
      <c r="D231" s="7">
        <v>2.4500000000000002</v>
      </c>
      <c r="E231" s="7">
        <v>2.48</v>
      </c>
      <c r="F231" s="13">
        <v>1393.76</v>
      </c>
      <c r="G231" s="13">
        <v>1393.76</v>
      </c>
    </row>
    <row r="232" spans="1:7" x14ac:dyDescent="0.2">
      <c r="A232" s="9" t="s">
        <v>33</v>
      </c>
      <c r="B232" s="7">
        <v>2.44</v>
      </c>
      <c r="C232" s="7">
        <v>2.4700000000000002</v>
      </c>
      <c r="D232" s="7">
        <v>2.41</v>
      </c>
      <c r="E232" s="7">
        <v>2.4300000000000002</v>
      </c>
      <c r="F232" s="13">
        <v>1365.66</v>
      </c>
      <c r="G232" s="13">
        <v>1365.66</v>
      </c>
    </row>
    <row r="233" spans="1:7" x14ac:dyDescent="0.2">
      <c r="A233" s="9" t="s">
        <v>32</v>
      </c>
      <c r="B233" s="7">
        <v>2.5099999999999998</v>
      </c>
      <c r="C233" s="7">
        <v>2.5550000000000002</v>
      </c>
      <c r="D233" s="7">
        <v>2.5099999999999998</v>
      </c>
      <c r="E233" s="7">
        <v>2.52</v>
      </c>
      <c r="F233" s="13">
        <v>1416.24</v>
      </c>
      <c r="G233" s="13">
        <v>1416.24</v>
      </c>
    </row>
    <row r="234" spans="1:7" x14ac:dyDescent="0.2">
      <c r="A234" s="9" t="s">
        <v>31</v>
      </c>
      <c r="B234" s="7">
        <v>2.54</v>
      </c>
      <c r="C234" s="7">
        <v>2.58</v>
      </c>
      <c r="D234" s="7">
        <v>2.52</v>
      </c>
      <c r="E234" s="7">
        <v>2.52</v>
      </c>
      <c r="F234" s="13">
        <v>1416.24</v>
      </c>
      <c r="G234" s="13">
        <v>1416.24</v>
      </c>
    </row>
    <row r="235" spans="1:7" x14ac:dyDescent="0.2">
      <c r="A235" s="9" t="s">
        <v>30</v>
      </c>
      <c r="B235" s="7">
        <v>2.52</v>
      </c>
      <c r="C235" s="7">
        <v>2.54</v>
      </c>
      <c r="D235" s="7">
        <v>2.48</v>
      </c>
      <c r="E235" s="7">
        <v>2.5299999999999998</v>
      </c>
      <c r="F235" s="13">
        <v>1421.86</v>
      </c>
      <c r="G235" s="13">
        <v>1421.86</v>
      </c>
    </row>
    <row r="236" spans="1:7" x14ac:dyDescent="0.2">
      <c r="A236" s="9" t="s">
        <v>29</v>
      </c>
      <c r="B236" s="7">
        <v>2.5299999999999998</v>
      </c>
      <c r="C236" s="7">
        <v>2.56</v>
      </c>
      <c r="D236" s="7">
        <v>2.4649999999999999</v>
      </c>
      <c r="E236" s="7">
        <v>2.4900000000000002</v>
      </c>
      <c r="F236" s="13">
        <v>1399.38</v>
      </c>
      <c r="G236" s="13">
        <v>1399.38</v>
      </c>
    </row>
    <row r="237" spans="1:7" x14ac:dyDescent="0.2">
      <c r="A237" s="9" t="s">
        <v>28</v>
      </c>
      <c r="B237" s="7">
        <v>2.4900000000000002</v>
      </c>
      <c r="C237" s="7">
        <v>2.5</v>
      </c>
      <c r="D237" s="7">
        <v>2.4300000000000002</v>
      </c>
      <c r="E237" s="7">
        <v>2.4300000000000002</v>
      </c>
      <c r="F237" s="13">
        <v>1365.66</v>
      </c>
      <c r="G237" s="13">
        <v>1365.66</v>
      </c>
    </row>
    <row r="238" spans="1:7" s="37" customFormat="1" x14ac:dyDescent="0.2">
      <c r="A238" s="34" t="s">
        <v>27</v>
      </c>
      <c r="B238" s="35">
        <v>2.44</v>
      </c>
      <c r="C238" s="35">
        <v>2.46</v>
      </c>
      <c r="D238" s="35">
        <v>2.4</v>
      </c>
      <c r="E238" s="35">
        <v>2.41</v>
      </c>
      <c r="F238" s="36">
        <v>1354.42</v>
      </c>
      <c r="G238" s="36">
        <v>1354.42</v>
      </c>
    </row>
    <row r="239" spans="1:7" x14ac:dyDescent="0.2">
      <c r="A239" s="9" t="s">
        <v>26</v>
      </c>
      <c r="B239" s="7">
        <v>2.4900000000000002</v>
      </c>
      <c r="C239" s="7">
        <v>2.63</v>
      </c>
      <c r="D239" s="7">
        <v>2.4500000000000002</v>
      </c>
      <c r="E239" s="7">
        <v>2.63</v>
      </c>
      <c r="F239" s="13">
        <v>1478.06</v>
      </c>
      <c r="G239" s="13">
        <v>1478.06</v>
      </c>
    </row>
    <row r="240" spans="1:7" x14ac:dyDescent="0.2">
      <c r="A240" s="9" t="s">
        <v>25</v>
      </c>
      <c r="B240" s="7">
        <v>2.61</v>
      </c>
      <c r="C240" s="7">
        <v>2.68</v>
      </c>
      <c r="D240" s="7">
        <v>2.57</v>
      </c>
      <c r="E240" s="7">
        <v>2.62</v>
      </c>
      <c r="F240" s="13">
        <v>1472.44</v>
      </c>
      <c r="G240" s="13">
        <v>1472.44</v>
      </c>
    </row>
    <row r="241" spans="1:7" x14ac:dyDescent="0.2">
      <c r="A241" s="9" t="s">
        <v>24</v>
      </c>
      <c r="B241" s="7">
        <v>2.59</v>
      </c>
      <c r="C241" s="7">
        <v>2.69</v>
      </c>
      <c r="D241" s="7">
        <v>2.59</v>
      </c>
      <c r="E241" s="7">
        <v>2.67</v>
      </c>
      <c r="F241" s="13">
        <v>1500.54</v>
      </c>
      <c r="G241" s="13">
        <v>1500.54</v>
      </c>
    </row>
    <row r="242" spans="1:7" x14ac:dyDescent="0.2">
      <c r="A242" s="9" t="s">
        <v>23</v>
      </c>
      <c r="B242" s="7">
        <v>2.75</v>
      </c>
      <c r="C242" s="7">
        <v>2.8149999999999999</v>
      </c>
      <c r="D242" s="7">
        <v>2.7</v>
      </c>
      <c r="E242" s="7">
        <v>2.74</v>
      </c>
      <c r="F242" s="13">
        <v>1539.88</v>
      </c>
      <c r="G242" s="13">
        <v>1539.88</v>
      </c>
    </row>
    <row r="243" spans="1:7" s="37" customFormat="1" x14ac:dyDescent="0.2">
      <c r="A243" s="34" t="s">
        <v>22</v>
      </c>
      <c r="B243" s="35">
        <v>2.76</v>
      </c>
      <c r="C243" s="35">
        <v>2.8</v>
      </c>
      <c r="D243" s="35">
        <v>2.7349999999999999</v>
      </c>
      <c r="E243" s="35">
        <v>2.77</v>
      </c>
      <c r="F243" s="36">
        <v>1556.74</v>
      </c>
      <c r="G243" s="36">
        <v>1556.74</v>
      </c>
    </row>
    <row r="244" spans="1:7" x14ac:dyDescent="0.2">
      <c r="A244" s="9" t="s">
        <v>21</v>
      </c>
      <c r="B244" s="7">
        <v>2.85</v>
      </c>
      <c r="C244" s="7">
        <v>2.85</v>
      </c>
      <c r="D244" s="7">
        <v>2.74</v>
      </c>
      <c r="E244" s="7">
        <v>2.74</v>
      </c>
      <c r="F244" s="13">
        <v>1539.88</v>
      </c>
      <c r="G244" s="13">
        <v>1539.88</v>
      </c>
    </row>
    <row r="245" spans="1:7" x14ac:dyDescent="0.2">
      <c r="A245" s="9" t="s">
        <v>20</v>
      </c>
      <c r="B245" s="7">
        <v>2.73</v>
      </c>
      <c r="C245" s="7">
        <v>2.73</v>
      </c>
      <c r="D245" s="7">
        <v>2.66</v>
      </c>
      <c r="E245" s="7">
        <v>2.71</v>
      </c>
      <c r="F245" s="13">
        <v>1523.02</v>
      </c>
      <c r="G245" s="13">
        <v>1523.02</v>
      </c>
    </row>
    <row r="246" spans="1:7" x14ac:dyDescent="0.2">
      <c r="A246" s="9" t="s">
        <v>19</v>
      </c>
      <c r="B246" s="7">
        <v>2.66</v>
      </c>
      <c r="C246" s="7">
        <v>2.67</v>
      </c>
      <c r="D246" s="7">
        <v>2.59</v>
      </c>
      <c r="E246" s="7">
        <v>2.61</v>
      </c>
      <c r="F246" s="13">
        <v>1466.82</v>
      </c>
      <c r="G246" s="13">
        <v>1466.82</v>
      </c>
    </row>
    <row r="247" spans="1:7" x14ac:dyDescent="0.2">
      <c r="A247" s="9" t="s">
        <v>18</v>
      </c>
      <c r="B247" s="7">
        <v>2.58</v>
      </c>
      <c r="C247" s="7">
        <v>2.64</v>
      </c>
      <c r="D247" s="7">
        <v>2.57</v>
      </c>
      <c r="E247" s="7">
        <v>2.63</v>
      </c>
      <c r="F247" s="13">
        <v>1478.06</v>
      </c>
      <c r="G247" s="13">
        <v>1478.06</v>
      </c>
    </row>
    <row r="248" spans="1:7" x14ac:dyDescent="0.2">
      <c r="A248" s="9" t="s">
        <v>17</v>
      </c>
      <c r="B248" s="7">
        <v>2.64</v>
      </c>
      <c r="C248" s="7">
        <v>2.66</v>
      </c>
      <c r="D248" s="7">
        <v>2.58</v>
      </c>
      <c r="E248" s="7">
        <v>2.59</v>
      </c>
      <c r="F248" s="13">
        <v>1455.58</v>
      </c>
      <c r="G248" s="13">
        <v>1455.58</v>
      </c>
    </row>
    <row r="249" spans="1:7" x14ac:dyDescent="0.2">
      <c r="A249" s="9" t="s">
        <v>16</v>
      </c>
      <c r="B249" s="7">
        <v>2.4900000000000002</v>
      </c>
      <c r="C249" s="7">
        <v>2.58</v>
      </c>
      <c r="D249" s="7">
        <v>2.48</v>
      </c>
      <c r="E249" s="7">
        <v>2.54</v>
      </c>
      <c r="F249" s="13">
        <v>1427.48</v>
      </c>
      <c r="G249" s="13">
        <v>1427.48</v>
      </c>
    </row>
    <row r="250" spans="1:7" x14ac:dyDescent="0.2">
      <c r="A250" s="9" t="s">
        <v>15</v>
      </c>
      <c r="B250" s="7">
        <v>2.5</v>
      </c>
      <c r="C250" s="7">
        <v>2.52</v>
      </c>
      <c r="D250" s="7">
        <v>2.4550000000000001</v>
      </c>
      <c r="E250" s="7">
        <v>2.5</v>
      </c>
      <c r="F250" s="13">
        <v>1405</v>
      </c>
      <c r="G250" s="13">
        <v>1405</v>
      </c>
    </row>
    <row r="251" spans="1:7" x14ac:dyDescent="0.2">
      <c r="A251" s="9" t="s">
        <v>14</v>
      </c>
      <c r="B251" s="7">
        <v>2.5099999999999998</v>
      </c>
      <c r="C251" s="7">
        <v>2.5649999999999999</v>
      </c>
      <c r="D251" s="7">
        <v>2.5</v>
      </c>
      <c r="E251" s="7">
        <v>2.54</v>
      </c>
      <c r="F251" s="13">
        <v>1427.48</v>
      </c>
      <c r="G251" s="13">
        <v>1427.48</v>
      </c>
    </row>
    <row r="252" spans="1:7" x14ac:dyDescent="0.2">
      <c r="A252" s="9" t="s">
        <v>13</v>
      </c>
      <c r="B252" s="7">
        <v>2.54</v>
      </c>
      <c r="C252" s="7">
        <v>2.57</v>
      </c>
      <c r="D252" s="7">
        <v>2.5</v>
      </c>
      <c r="E252" s="7">
        <v>2.5299999999999998</v>
      </c>
      <c r="F252" s="13">
        <v>1421.86</v>
      </c>
      <c r="G252" s="13">
        <v>1421.86</v>
      </c>
    </row>
    <row r="253" spans="1:7" x14ac:dyDescent="0.2">
      <c r="A253" s="9" t="s">
        <v>12</v>
      </c>
      <c r="B253" s="7">
        <v>2.5299999999999998</v>
      </c>
      <c r="C253" s="7">
        <v>2.56</v>
      </c>
      <c r="D253" s="7">
        <v>2.5049999999999999</v>
      </c>
      <c r="E253" s="7">
        <v>2.5499999999999998</v>
      </c>
      <c r="F253" s="13">
        <v>1433.1</v>
      </c>
      <c r="G253" s="13">
        <v>1433.1</v>
      </c>
    </row>
    <row r="254" spans="1:7" x14ac:dyDescent="0.2">
      <c r="A254" s="9" t="s">
        <v>11</v>
      </c>
      <c r="B254" s="7">
        <v>2.52</v>
      </c>
      <c r="C254" s="7">
        <v>2.5499999999999998</v>
      </c>
      <c r="D254" s="7">
        <v>2.4900000000000002</v>
      </c>
      <c r="E254" s="7">
        <v>2.52</v>
      </c>
      <c r="F254" s="13">
        <v>1416.24</v>
      </c>
      <c r="G254" s="13">
        <v>1416.24</v>
      </c>
    </row>
    <row r="255" spans="1:7" x14ac:dyDescent="0.2">
      <c r="A255" s="9" t="s">
        <v>10</v>
      </c>
      <c r="B255" s="7">
        <v>2.4700000000000002</v>
      </c>
      <c r="C255" s="7">
        <v>2.48</v>
      </c>
      <c r="D255" s="7">
        <v>2.4350000000000001</v>
      </c>
      <c r="E255" s="7">
        <v>2.4700000000000002</v>
      </c>
      <c r="F255" s="13">
        <v>1388.14</v>
      </c>
      <c r="G255" s="13">
        <v>1388.14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closing price vs volume</vt:lpstr>
      <vt:lpstr>stock price</vt:lpstr>
      <vt:lpstr>capital vs issued shares</vt:lpstr>
      <vt:lpstr>yield analysis</vt:lpstr>
      <vt:lpstr>PE</vt:lpstr>
      <vt:lpstr>Yearly portfolio</vt:lpstr>
      <vt:lpstr>1xtrade</vt:lpstr>
      <vt:lpstr>Maximum Trade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Abbas Hitawala</dc:creator>
  <cp:lastModifiedBy>Ali Abbas Hitawala</cp:lastModifiedBy>
  <dcterms:created xsi:type="dcterms:W3CDTF">2025-02-24T08:16:25Z</dcterms:created>
  <dcterms:modified xsi:type="dcterms:W3CDTF">2025-03-17T07:23:42Z</dcterms:modified>
</cp:coreProperties>
</file>